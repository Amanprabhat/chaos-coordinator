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13951K/Desktop/WES/"/>
    </mc:Choice>
  </mc:AlternateContent>
  <xr:revisionPtr revIDLastSave="0" documentId="13_ncr:1_{FE72C918-F07C-B94F-A594-106EC6F58DEC}" xr6:coauthVersionLast="47" xr6:coauthVersionMax="47" xr10:uidLastSave="{00000000-0000-0000-0000-000000000000}"/>
  <bookViews>
    <workbookView xWindow="0" yWindow="0" windowWidth="33600" windowHeight="21000" activeTab="1" xr2:uid="{6D21F926-7FFF-2C45-A6CD-15CC9B6CCC09}"/>
  </bookViews>
  <sheets>
    <sheet name="WBS Guide" sheetId="3" state="hidden" r:id="rId1"/>
    <sheet name="WBS" sheetId="1" r:id="rId2"/>
    <sheet name="Gantt Chart" sheetId="2" state="hidden" r:id="rId3"/>
  </sheets>
  <definedNames>
    <definedName name="_xlnm.Print_Area" localSheetId="0">'WBS Guide'!$A$1:$E$78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59" i="1" l="1"/>
  <c r="I56" i="1"/>
  <c r="I55" i="1"/>
  <c r="I54" i="1"/>
  <c r="I53" i="1"/>
  <c r="I52" i="1"/>
  <c r="I50" i="1"/>
  <c r="I48" i="1"/>
  <c r="I47" i="1"/>
  <c r="I46" i="1"/>
  <c r="I45" i="1"/>
  <c r="I44" i="1"/>
  <c r="I43" i="1"/>
  <c r="I42" i="1"/>
  <c r="I41" i="1"/>
  <c r="I40" i="1"/>
  <c r="I39" i="1"/>
  <c r="I38" i="1"/>
  <c r="I37" i="1"/>
  <c r="I36" i="1"/>
  <c r="I35" i="1"/>
  <c r="I34" i="1"/>
  <c r="I33" i="1"/>
  <c r="I32" i="1"/>
  <c r="I31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4" i="1"/>
  <c r="I3" i="1"/>
</calcChain>
</file>

<file path=xl/sharedStrings.xml><?xml version="1.0" encoding="utf-8"?>
<sst xmlns="http://schemas.openxmlformats.org/spreadsheetml/2006/main" count="812" uniqueCount="349">
  <si>
    <t>WBS #</t>
  </si>
  <si>
    <t>Phase</t>
  </si>
  <si>
    <t>Sprint</t>
  </si>
  <si>
    <t>Task / Deliverable</t>
  </si>
  <si>
    <t>Owner</t>
  </si>
  <si>
    <t>Start Date</t>
  </si>
  <si>
    <t>End Date</t>
  </si>
  <si>
    <t>Duration (Days)</t>
  </si>
  <si>
    <t>Status</t>
  </si>
  <si>
    <t>Dependencies</t>
  </si>
  <si>
    <t>Phase 1: Migration &amp; Integration</t>
  </si>
  <si>
    <t>Phase 1</t>
  </si>
  <si>
    <t>Prep Phase</t>
  </si>
  <si>
    <t>Not Started</t>
  </si>
  <si>
    <t>—</t>
  </si>
  <si>
    <t>1.1.1</t>
  </si>
  <si>
    <t>Sprint 0</t>
  </si>
  <si>
    <t>Conduct kickoff meeting</t>
  </si>
  <si>
    <t>1.1.2</t>
  </si>
  <si>
    <t>Define key stakeholders and project governance</t>
  </si>
  <si>
    <t>1.1.3</t>
  </si>
  <si>
    <t>1.1.4</t>
  </si>
  <si>
    <t>Prepare and finalize project plan</t>
  </si>
  <si>
    <t>WES</t>
  </si>
  <si>
    <t>1.1.1, 1.1.2</t>
  </si>
  <si>
    <t>1.1.5</t>
  </si>
  <si>
    <t>Set up UAT and Prod environments</t>
  </si>
  <si>
    <t>Client Deliverable</t>
  </si>
  <si>
    <t>Signed-off project charter</t>
  </si>
  <si>
    <t>Required for integration setup</t>
  </si>
  <si>
    <t>Initial Migration</t>
  </si>
  <si>
    <t>1.2.1</t>
  </si>
  <si>
    <t>Sprint 1</t>
  </si>
  <si>
    <t>Set up SSO Authentication</t>
  </si>
  <si>
    <t>1.2.2</t>
  </si>
  <si>
    <t>Develop Initial Migration Script</t>
  </si>
  <si>
    <t>1.2.3</t>
  </si>
  <si>
    <t>Validate integration test endpoints</t>
  </si>
  <si>
    <t>1.2.D1</t>
  </si>
  <si>
    <t>Deliverable</t>
  </si>
  <si>
    <t>SSO integration setup complete</t>
  </si>
  <si>
    <t>Initial migration plans</t>
  </si>
  <si>
    <t>Full Migration</t>
  </si>
  <si>
    <t>1.3.1</t>
  </si>
  <si>
    <t>Sprint 2</t>
  </si>
  <si>
    <t>Execute migration to UAT environment</t>
  </si>
  <si>
    <t>1.3.2</t>
  </si>
  <si>
    <t>1.3.3</t>
  </si>
  <si>
    <t>Run data integrity checks</t>
  </si>
  <si>
    <t>1.3.4</t>
  </si>
  <si>
    <t>Prepare UAT plan and user stories</t>
  </si>
  <si>
    <t>1.3.D1</t>
  </si>
  <si>
    <t>Content transformation progress report</t>
  </si>
  <si>
    <t>1.3.D2</t>
  </si>
  <si>
    <t>UAT Plan</t>
  </si>
  <si>
    <t>1.3.R1</t>
  </si>
  <si>
    <t>Client Requirement</t>
  </si>
  <si>
    <t>SIT &amp; KUT</t>
  </si>
  <si>
    <t>1.4.1</t>
  </si>
  <si>
    <t>Sprint 3</t>
  </si>
  <si>
    <t>Complete content transformation and get sign-off</t>
  </si>
  <si>
    <t>1.4.2</t>
  </si>
  <si>
    <t>Execute SIT (System Integration Testing)</t>
  </si>
  <si>
    <t>1.4.1, 1.3.1</t>
  </si>
  <si>
    <t>1.4.3</t>
  </si>
  <si>
    <t>Conduct KUT (Key User Training)</t>
  </si>
  <si>
    <t>1.4.D1</t>
  </si>
  <si>
    <t>UAT-ready system</t>
  </si>
  <si>
    <t>Team will review the transformed content</t>
  </si>
  <si>
    <t>Final Validation &amp; Deployment Prep</t>
  </si>
  <si>
    <t>1.5.1</t>
  </si>
  <si>
    <t>Sprint 4</t>
  </si>
  <si>
    <t>Execute UAT with business users</t>
  </si>
  <si>
    <t>1.5.2</t>
  </si>
  <si>
    <t>Capture feedback, resolve defects</t>
  </si>
  <si>
    <t>1.5.3</t>
  </si>
  <si>
    <t>Migrate delta data &amp; deploy final content + integration</t>
  </si>
  <si>
    <t>1.5.D1</t>
  </si>
  <si>
    <t>Final Project Report &amp; Stakeholder Sign-Off</t>
  </si>
  <si>
    <t>1.5.R1</t>
  </si>
  <si>
    <t>Phase 2: Integration (Post Go-Live)</t>
  </si>
  <si>
    <t>Phase 2</t>
  </si>
  <si>
    <t>Integration</t>
  </si>
  <si>
    <t>Timeline subject to change after requirement finalization</t>
  </si>
  <si>
    <t>2.1.1</t>
  </si>
  <si>
    <t>Sprint 5</t>
  </si>
  <si>
    <t>Develop integration workflows post go-live</t>
  </si>
  <si>
    <t>2.1.2</t>
  </si>
  <si>
    <t>Execute integration testing</t>
  </si>
  <si>
    <t>2.1.3</t>
  </si>
  <si>
    <t>Deploy integration as a separate milestone</t>
  </si>
  <si>
    <t>2.1.D1</t>
  </si>
  <si>
    <t>Integration deployed &amp; operational</t>
  </si>
  <si>
    <t>Type</t>
  </si>
  <si>
    <t>Duration (Working Days)</t>
  </si>
  <si>
    <t>Notes</t>
  </si>
  <si>
    <t>Sprint 0 (Wk 0–2)</t>
  </si>
  <si>
    <t>Summary</t>
  </si>
  <si>
    <t>Task</t>
  </si>
  <si>
    <t>1.1.CD1</t>
  </si>
  <si>
    <t>1.1.CD2</t>
  </si>
  <si>
    <t>API access and credentials provided</t>
  </si>
  <si>
    <t>1.1.CR1</t>
  </si>
  <si>
    <t>Help in finalizing project goals, expectations, and scope</t>
  </si>
  <si>
    <t>1.1.M1</t>
  </si>
  <si>
    <t>◆ Milestone</t>
  </si>
  <si>
    <t>Prep Phase Complete — Project plan finalized, environments ready</t>
  </si>
  <si>
    <t>1.1.5, 1.1.CD1</t>
  </si>
  <si>
    <t>Gate: proceed to Sprint 1</t>
  </si>
  <si>
    <t>Sprint 1 (Wk 3)</t>
  </si>
  <si>
    <t>If there are any</t>
  </si>
  <si>
    <t>1.2.D2</t>
  </si>
  <si>
    <t>1.2.M1</t>
  </si>
  <si>
    <t>Initial Migration Complete — SSO &amp; migration script ready</t>
  </si>
  <si>
    <t>1.2.3, 1.2.D1, 1.2.D2</t>
  </si>
  <si>
    <t>Gate: proceed to Full Migration</t>
  </si>
  <si>
    <t>Sprint 2 (Wk 4)</t>
  </si>
  <si>
    <t>Content Transformation — begin modifying content in Knowmax</t>
  </si>
  <si>
    <t>Optional — if required</t>
  </si>
  <si>
    <t>1.3.CR1</t>
  </si>
  <si>
    <t>Review UAT Migration Results</t>
  </si>
  <si>
    <t>1.3.CR2</t>
  </si>
  <si>
    <t>Confirm UAT Scope</t>
  </si>
  <si>
    <t>1.3.A1</t>
  </si>
  <si>
    <t>Assumption</t>
  </si>
  <si>
    <t>Content Transformation Team starts Day 1 of this sprint (if required)</t>
  </si>
  <si>
    <t>Risk</t>
  </si>
  <si>
    <t>Commercials may change based on Scope Finalization</t>
  </si>
  <si>
    <t>1.3.M1</t>
  </si>
  <si>
    <t>Full Migration Complete — UAT plan ready, data integrity verified</t>
  </si>
  <si>
    <t>1.3.3, 1.3.D2, 1.3.CR2</t>
  </si>
  <si>
    <t>Gate: proceed to SIT &amp; KUT</t>
  </si>
  <si>
    <t>Sprint 3 (Wk 5–6)</t>
  </si>
  <si>
    <t>1.4.CR1</t>
  </si>
  <si>
    <t>Conduct UAT</t>
  </si>
  <si>
    <t>1.4.CR2</t>
  </si>
  <si>
    <t>Provide UAT Feedback</t>
  </si>
  <si>
    <t>1.4.CR3</t>
  </si>
  <si>
    <t>Review final transformed content and provide sign-off</t>
  </si>
  <si>
    <t>1.4.2, 1.4.3</t>
  </si>
  <si>
    <t>1.4.D2</t>
  </si>
  <si>
    <t>All transformed content verified and signed off by client</t>
  </si>
  <si>
    <t>1.4.M1</t>
  </si>
  <si>
    <t>SIT &amp; KUT Complete — UAT-ready, content signed off</t>
  </si>
  <si>
    <t>1.4.D1, 1.4.D2</t>
  </si>
  <si>
    <t>Gate: proceed to Final Validation</t>
  </si>
  <si>
    <t>Sprint 4 (Wk 7–8)</t>
  </si>
  <si>
    <t>1.5.CR1</t>
  </si>
  <si>
    <t>Participate in Handover</t>
  </si>
  <si>
    <t>1.5.CR2</t>
  </si>
  <si>
    <t>Review Documentation (if applicable)</t>
  </si>
  <si>
    <t>1.5.3, 1.5.CR1</t>
  </si>
  <si>
    <t>1.5.M1</t>
  </si>
  <si>
    <t>Phase 1 Complete — Go-Live, stakeholder sign-off received</t>
  </si>
  <si>
    <t>MAJOR: Phase 1 close-out</t>
  </si>
  <si>
    <t>Sprint 5 (Wk 9–12)</t>
  </si>
  <si>
    <t>2.1.A1</t>
  </si>
  <si>
    <t>Integration timeline is subject to change after requirement finalization</t>
  </si>
  <si>
    <t>2.1.R1</t>
  </si>
  <si>
    <t>2.1.M1</t>
  </si>
  <si>
    <t>Project Complete — All integration workflows deployed</t>
  </si>
  <si>
    <t>MAJOR: Project close-out</t>
  </si>
  <si>
    <t>Start Offset (Days)</t>
  </si>
  <si>
    <t>2.1.M1  Project Complete — All integration workflows depl...</t>
  </si>
  <si>
    <t>2.1.D1  Integration deployed &amp; operational</t>
  </si>
  <si>
    <t>2.1.3  Deploy integration as a separate milestone</t>
  </si>
  <si>
    <t>2.1.2  Execute integration testing</t>
  </si>
  <si>
    <t>2.1.1  Develop integration workflows post go-live</t>
  </si>
  <si>
    <t>2.1  Integration</t>
  </si>
  <si>
    <t>1.5.M1  Phase 1 Complete — Go-Live, stakeholder sign-off ...</t>
  </si>
  <si>
    <t>1.5.D1  Final Project Report &amp; Stakeholder Sign-Off</t>
  </si>
  <si>
    <t>1.5.CR2  Review Documentation (if applicable)</t>
  </si>
  <si>
    <t>1.5.CR1  Participate in Handover</t>
  </si>
  <si>
    <t>1.5.3  Migrate delta data &amp; deploy final content + integr...</t>
  </si>
  <si>
    <t>1.5.2  Capture feedback, resolve defects</t>
  </si>
  <si>
    <t>1.5.1  Execute UAT with business users</t>
  </si>
  <si>
    <t>1.5  Final Validation &amp; Deployment Prep</t>
  </si>
  <si>
    <t>1.4.M1  SIT &amp; KUT Complete — UAT-ready, content signed off</t>
  </si>
  <si>
    <t>1.4.D2  All transformed content verified and signed off b...</t>
  </si>
  <si>
    <t>1.4.D1  UAT-ready system</t>
  </si>
  <si>
    <t>1.4.CR3  Review final transformed content and provide sig...</t>
  </si>
  <si>
    <t>1.4.CR2  Provide UAT Feedback</t>
  </si>
  <si>
    <t>1.4.CR1  Conduct UAT</t>
  </si>
  <si>
    <t>1.4.3  Conduct KUT (Key User Training)</t>
  </si>
  <si>
    <t>1.4.2  Execute SIT (System Integration Testing)</t>
  </si>
  <si>
    <t>1.4.1  Complete content transformation and get sign-off</t>
  </si>
  <si>
    <t>1.4  SIT &amp; KUT</t>
  </si>
  <si>
    <t>1.3.M1  Full Migration Complete — UAT plan ready, data in...</t>
  </si>
  <si>
    <t>1.3.D2  UAT Plan</t>
  </si>
  <si>
    <t>1.3.D1  Content transformation progress report</t>
  </si>
  <si>
    <t>1.3.CR2  Confirm UAT Scope</t>
  </si>
  <si>
    <t>1.3.CR1  Review UAT Migration Results</t>
  </si>
  <si>
    <t>1.3.4  Prepare UAT plan and user stories</t>
  </si>
  <si>
    <t>1.3.3  Run data integrity checks</t>
  </si>
  <si>
    <t>1.3.2  Content Transformation — begin modifying content i...</t>
  </si>
  <si>
    <t>1.3.1  Execute migration to UAT environment</t>
  </si>
  <si>
    <t>1.3  Full Migration</t>
  </si>
  <si>
    <t>1.2.M1  Initial Migration Complete — SSO &amp; migration scri...</t>
  </si>
  <si>
    <t>1.2.D2  Initial migration plans</t>
  </si>
  <si>
    <t>1.2.D1  SSO integration setup complete</t>
  </si>
  <si>
    <t>1.2.3  Validate integration test endpoints</t>
  </si>
  <si>
    <t>1.2.2  Develop Initial Migration Script</t>
  </si>
  <si>
    <t>1.2.1  Set up SSO Authentication</t>
  </si>
  <si>
    <t>1.2  Initial Migration</t>
  </si>
  <si>
    <t>1.1.M1  Prep Phase Complete — Project plan finalized, env...</t>
  </si>
  <si>
    <t>1.1.CR1  Help in finalizing project goals, expectations, ...</t>
  </si>
  <si>
    <t>1.1.CD2  API access and credentials provided</t>
  </si>
  <si>
    <t>1.1.CD1  Signed-off project charter</t>
  </si>
  <si>
    <t>1.1.5  Set up UAT and Prod environments</t>
  </si>
  <si>
    <t>1.1.4  Prepare and finalize project plan</t>
  </si>
  <si>
    <t>1.1.3  Receive 3rd-party APIs from Client for integration</t>
  </si>
  <si>
    <t>1.1.2  Define key stakeholders and project governance</t>
  </si>
  <si>
    <t>1.1.1  Conduct kickoff meeting</t>
  </si>
  <si>
    <t>1.1  Prep Phase</t>
  </si>
  <si>
    <t>Start Offset</t>
  </si>
  <si>
    <t>Duration</t>
  </si>
  <si>
    <t>Legend:</t>
  </si>
  <si>
    <t>■</t>
  </si>
  <si>
    <t>Sprint Summary</t>
  </si>
  <si>
    <t>Deliverable (WES)</t>
  </si>
  <si>
    <t>WES Project Plan — Work Breakdown Structure (WBS) Guide</t>
  </si>
  <si>
    <t>1. OVERVIEW</t>
  </si>
  <si>
    <t>This WBS breaks down the WES Project Plan into a structured, trackable format across 2 phases, 6 sprints, and 60 working days (Apr 13 – Jul 3, 2026). Every task, deliverable, client obligation, milestone, risk, and assumption from the source project plan is captured in the WBS sheet.</t>
  </si>
  <si>
    <t>2. HOW TO READ THE WBS</t>
  </si>
  <si>
    <t>The WBS sheet contains 12 columns described below:</t>
  </si>
  <si>
    <t>Column</t>
  </si>
  <si>
    <t>Purpose</t>
  </si>
  <si>
    <t>WBS # (A)</t>
  </si>
  <si>
    <t>Hierarchical numbering — 1.x = Phase 1, 2.x = Phase 2. Sub-levels denote sprint (.1, .2) and task (.1.1, .1.2). Suffixes: CD = Client Deliverable, CR = Client Requirement, D = Deliverable, M = Milestone, A = Assumption, R = Risk.</t>
  </si>
  <si>
    <t>Phase (B)</t>
  </si>
  <si>
    <t>Which project phase the item belongs to (Phase 1: Migration &amp; Integration, or Phase 2: Integration Post Go-Live).</t>
  </si>
  <si>
    <t>Sprint (C)</t>
  </si>
  <si>
    <t>Sprint grouping with corresponding week range (e.g., Sprint 0 Wk 0–2, Sprint 1 Wk 3, etc.).</t>
  </si>
  <si>
    <t>Type (D)</t>
  </si>
  <si>
    <t>Classification of the row — Task, Summary, Milestone, Client Deliverable, Deliverable, Client Requirement, Assumption, or Risk. See Section 3 for color coding.</t>
  </si>
  <si>
    <t>Task / Deliverable (E)</t>
  </si>
  <si>
    <t>Description of the work item, output, or obligation.</t>
  </si>
  <si>
    <t>Owner (F)</t>
  </si>
  <si>
    <t>Who is responsible — WES, Client, or WES / Client (joint responsibility).</t>
  </si>
  <si>
    <t>Start / End Date (G–H)</t>
  </si>
  <si>
    <t>Working-day calendar dates (Monday–Friday only). Weekends are excluded from all scheduling.</t>
  </si>
  <si>
    <t>Duration (I)</t>
  </si>
  <si>
    <t>Auto-calculated using NETWORKDAYS() formula — counts only working days (excludes Sat/Sun).</t>
  </si>
  <si>
    <t>Status (J)</t>
  </si>
  <si>
    <t>Dropdown with options: Not Started, In Progress, Completed, On Hold, Blocked. Conditional formatting auto-highlights by color.</t>
  </si>
  <si>
    <t>Dependencies (K)</t>
  </si>
  <si>
    <t>WBS # of items that must complete before this item can start. Check these before beginning work.</t>
  </si>
  <si>
    <t>Notes (L)</t>
  </si>
  <si>
    <t>Assumptions, conditions, caveats, or additional context from the project plan.</t>
  </si>
  <si>
    <t>3. ROW TYPES &amp; COLOR CODING</t>
  </si>
  <si>
    <t>Each row in the WBS is classified by Type (column D). The color coding makes it easy to scan and identify item categories at a glance:</t>
  </si>
  <si>
    <t>Color</t>
  </si>
  <si>
    <t>What It Means</t>
  </si>
  <si>
    <t>Sprint-level summary row. Shows the sprint’s total date range and working-day duration. This is a container row, not an executable work item.</t>
  </si>
  <si>
    <t>Actual work to be performed by WES, Client, or both. These are the executable activities that move the project forward.</t>
  </si>
  <si>
    <t>◆</t>
  </si>
  <si>
    <t>A checkpoint or gate with zero duration. Marks that all preceding items in the sprint are complete. Used as go/no-go gates before the next sprint. If a milestone is not met, the project should not proceed.</t>
  </si>
  <si>
    <t>An output WES produces (e.g., SSO setup, UAT plan, migration report). These are tangible project artifacts delivered by the WES team.</t>
  </si>
  <si>
    <t>A stated assumption the plan depends on. If this assumption changes, timelines and commercials may shift. Track and validate early.</t>
  </si>
  <si>
    <t>An identified risk to the project (e.g., scope changes affecting commercials). Monitor throughout the project and escalate if they materialize.</t>
  </si>
  <si>
    <t>4. SPRINT TIMELINE</t>
  </si>
  <si>
    <t>Weeks</t>
  </si>
  <si>
    <t>Dates</t>
  </si>
  <si>
    <t>Working Days</t>
  </si>
  <si>
    <t>Focus</t>
  </si>
  <si>
    <t>Wk 0–2</t>
  </si>
  <si>
    <t>Apr 13 – Apr 24</t>
  </si>
  <si>
    <t>Prep: kickoff, governance, APIs, environments</t>
  </si>
  <si>
    <t>Wk 3</t>
  </si>
  <si>
    <t>Apr 27 – May 1</t>
  </si>
  <si>
    <t>Initial Migration: SSO, migration script, endpoint validation</t>
  </si>
  <si>
    <t>Wk 4</t>
  </si>
  <si>
    <t>May 4 – May 8</t>
  </si>
  <si>
    <t>Full Migration: UAT migration, content transformation, data integrity</t>
  </si>
  <si>
    <t>Wk 5–6</t>
  </si>
  <si>
    <t>May 11 – May 22</t>
  </si>
  <si>
    <t>SIT &amp; KUT: system integration testing, key user training, UAT</t>
  </si>
  <si>
    <t>Wk 7–8</t>
  </si>
  <si>
    <t>May 25 – Jun 5</t>
  </si>
  <si>
    <t>Final Validation: UAT with users, defect resolution, go-live deployment</t>
  </si>
  <si>
    <t>Sprint 5 (Phase 2)</t>
  </si>
  <si>
    <t>Wk 9–12</t>
  </si>
  <si>
    <t>Jun 8 – Jul 3</t>
  </si>
  <si>
    <t>Integration: post go-live workflows, integration testing, deployment</t>
  </si>
  <si>
    <t>5. KEY MILESTONES (6 Total)</t>
  </si>
  <si>
    <t>Milestone</t>
  </si>
  <si>
    <t>Date</t>
  </si>
  <si>
    <t>Significance</t>
  </si>
  <si>
    <t>Prep Phase Complete</t>
  </si>
  <si>
    <t>Project plan finalized, UAT &amp; Prod environments ready. Gate to Sprint 1.</t>
  </si>
  <si>
    <t>Initial Migration Complete</t>
  </si>
  <si>
    <t>SSO set up, migration script ready, endpoints validated. Gate to Full Migration.</t>
  </si>
  <si>
    <t>Full Migration Complete</t>
  </si>
  <si>
    <t>UAT plan ready, data integrity verified. Gate to SIT &amp; KUT.</t>
  </si>
  <si>
    <t>SIT &amp; KUT Complete</t>
  </si>
  <si>
    <t>System tested, users trained, UAT-ready, content signed off. Gate to Final Validation.</t>
  </si>
  <si>
    <t>⭐ Phase 1 Complete — Go-Live</t>
  </si>
  <si>
    <t>MAJOR: All defects resolved, delta data migrated, final content deployed, stakeholder sign-off received.</t>
  </si>
  <si>
    <t>⭐ Project Complete</t>
  </si>
  <si>
    <t>MAJOR: All integration workflows developed, tested, and deployed. Full project close-out.</t>
  </si>
  <si>
    <t>6. HOW TO USE THIS WBS</t>
  </si>
  <si>
    <t>#</t>
  </si>
  <si>
    <t>Action</t>
  </si>
  <si>
    <t>How</t>
  </si>
  <si>
    <t>Track progress</t>
  </si>
  <si>
    <t>Update the Status dropdown in column J as work progresses. Conditional formatting auto-highlights: green = Completed, yellow = In Progress, red = Blocked, orange = On Hold.</t>
  </si>
  <si>
    <t>Check dependencies</t>
  </si>
  <si>
    <t>Before starting any task, verify its dependencies (column K) are marked as Completed. Starting work with unfinished dependencies risks rework.</t>
  </si>
  <si>
    <t>Monitor client items</t>
  </si>
  <si>
    <t>Filter column D (Type) by "Client Deliverable" or "Client Requirement" to see what is needed from the client and by when. Late client items will cascade delays to WES tasks.</t>
  </si>
  <si>
    <t>Use the Gantt chart</t>
  </si>
  <si>
    <t>The "Gantt Chart" tab provides a visual timeline of all tasks. Bars are color-coded to match the row types described in Section 3 above.</t>
  </si>
  <si>
    <t>Watch risks &amp; assumptions</t>
  </si>
  <si>
    <t>Risk and Assumption rows (purple/orange) are flagged for ongoing attention. If scope changes, update commercials and timeline accordingly.</t>
  </si>
  <si>
    <t>7. IMPORTANT NOTES FROM SOURCE PLAN</t>
  </si>
  <si>
    <t>⚠</t>
  </si>
  <si>
    <t>Commercials may change based on scope finalization.</t>
  </si>
  <si>
    <t>Content Transformation is optional and starts Day 1 of Sprint 2 (if required).</t>
  </si>
  <si>
    <t>All dates use working days only (Monday–Friday). Weekends are excluded from all scheduling and duration calculations.</t>
  </si>
  <si>
    <t>8. STATUS LEGEND</t>
  </si>
  <si>
    <t>Meaning</t>
  </si>
  <si>
    <t>■ Default (no highlight)</t>
  </si>
  <si>
    <t>Work has not yet begun on this item.</t>
  </si>
  <si>
    <t>In Progress</t>
  </si>
  <si>
    <t>■ Yellow</t>
  </si>
  <si>
    <t>Work is actively underway.</t>
  </si>
  <si>
    <t>Completed</t>
  </si>
  <si>
    <t>■ Green</t>
  </si>
  <si>
    <t>Work is finished and verified.</t>
  </si>
  <si>
    <t>On Hold</t>
  </si>
  <si>
    <t>■ Orange</t>
  </si>
  <si>
    <t>Work is paused, awaiting a decision or external input.</t>
  </si>
  <si>
    <t>Blocked</t>
  </si>
  <si>
    <t>■ Red</t>
  </si>
  <si>
    <t>Work cannot proceed due to an unresolved dependency or issue. Escalate immediately.</t>
  </si>
  <si>
    <t>WES / Knowmax</t>
  </si>
  <si>
    <t>Receive 3rd-party APIs from WES for integration</t>
  </si>
  <si>
    <t>WES dependency</t>
  </si>
  <si>
    <t>Knowmax</t>
  </si>
  <si>
    <t>Knowmax Deliverable</t>
  </si>
  <si>
    <t>Knowmax to finalize, WES to review &amp; sign off</t>
  </si>
  <si>
    <t>WES Requirement</t>
  </si>
  <si>
    <t>Knowmax / WES</t>
  </si>
  <si>
    <t>⚠ DISCLAIMER: This timeline is tentative and subject to change. Actual dates may be preponed or postponed based on: (1) Scope changes or requirement finalization delays; (2) Availability of third-party APIs, credentials, or environment access from WES; (3) Volume and complexity of content transformation work; (4) Defect resolution timelines during SIT/UAT phases; (5) Resource availability on either WES or Knowmax side; (6) Dependencies on external integrations or third-party systems. Commercials may also change based on final scope finalization. All stakeholders will be notified promptly of any schedule adjustments.</t>
  </si>
  <si>
    <t>Something KNOWMAX must provide to WES (e.g., signed charter, SSO setup, UAT plan). These are tangible artifacts. If late, downstream tasks will be blocked.</t>
  </si>
  <si>
    <t>An ACTION that WES must take (e.g., conduct UAT, provide feedback, review content, provide APIs). These are activities, not artifacts. Delays here cascade to Knowmax timelines.</t>
  </si>
  <si>
    <t>Integration timeline (Phase 2) is subject to change after requirement finalization.</t>
  </si>
  <si>
    <t>TIMELINE DISCLAIMER</t>
  </si>
  <si>
    <t>This timeline is tentative and subject to change. Actual dates may be preponed or postponed based on: (1) Scope changes or requirement finalization delays; (2) Availability of third-party APIs, credentials, or environment access from WES; (3) Volume and complexity of content transformation work; (4) Defect resolution timelines during SIT/UAT phases; (5) Resource availability on either WES or Knowmax side; (6) Dependencies on external integrations or third-party systems. Commercials may also change based on final scope finalization. All stakeholders will be notified promptly of any schedule adjustments.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</si>
</sst>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47" x14ac:knownFonts="1">
    <font>
      <sz val="12"/>
      <color theme="1"/>
      <name val="Aptos Narrow"/>
      <family val="2"/>
      <scheme val="minor"/>
    </font>
    <font>
      <b/>
      <sz val="11"/>
      <color rgb="FFFFFFFF"/>
      <name val="Calibri"/>
      <family val="2"/>
    </font>
    <font>
      <b/>
      <sz val="11"/>
      <color theme="1"/>
      <name val="Aptos Narrow"/>
      <family val="2"/>
      <scheme val="minor"/>
    </font>
    <font>
      <i/>
      <sz val="12"/>
      <color rgb="FF2E75B6"/>
      <name val="Aptos Narrow"/>
      <family val="2"/>
      <scheme val="minor"/>
    </font>
    <font>
      <i/>
      <sz val="12"/>
      <color rgb="FFC00000"/>
      <name val="Aptos Narrow"/>
      <family val="2"/>
      <scheme val="minor"/>
    </font>
    <font>
      <b/>
      <sz val="12"/>
      <color rgb="FFFFFFFF"/>
      <name val="Aptos Narrow"/>
      <family val="2"/>
      <scheme val="minor"/>
    </font>
    <font>
      <b/>
      <sz val="11"/>
      <color rgb="FF1F4E79"/>
      <name val="Aptos Narrow"/>
      <family val="2"/>
      <scheme val="minor"/>
    </font>
    <font>
      <i/>
      <sz val="12"/>
      <color rgb="FF375623"/>
      <name val="Aptos Narrow"/>
      <family val="2"/>
      <scheme val="minor"/>
    </font>
    <font>
      <b/>
      <sz val="12"/>
      <color rgb="FF7F6000"/>
      <name val="Aptos Narrow"/>
      <family val="2"/>
      <scheme val="minor"/>
    </font>
    <font>
      <i/>
      <sz val="12"/>
      <color rgb="FF6A1B9A"/>
      <name val="Aptos Narrow"/>
      <family val="2"/>
      <scheme val="minor"/>
    </font>
    <font>
      <i/>
      <sz val="12"/>
      <color rgb="FFBF360C"/>
      <name val="Aptos Narrow"/>
      <family val="2"/>
      <scheme val="minor"/>
    </font>
    <font>
      <b/>
      <sz val="14"/>
      <color rgb="FF1F4E79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4"/>
      <color rgb="FF4472C4"/>
      <name val="Aptos Narrow"/>
      <family val="2"/>
      <scheme val="minor"/>
    </font>
    <font>
      <b/>
      <sz val="14"/>
      <color rgb="FFFFC000"/>
      <name val="Aptos Narrow"/>
      <family val="2"/>
      <scheme val="minor"/>
    </font>
    <font>
      <b/>
      <sz val="14"/>
      <color rgb="FF548235"/>
      <name val="Aptos Narrow"/>
      <family val="2"/>
      <scheme val="minor"/>
    </font>
    <font>
      <b/>
      <sz val="14"/>
      <color rgb="FFC00000"/>
      <name val="Aptos Narrow"/>
      <family val="2"/>
      <scheme val="minor"/>
    </font>
    <font>
      <b/>
      <sz val="14"/>
      <color rgb="FF5B9BD5"/>
      <name val="Aptos Narrow"/>
      <family val="2"/>
      <scheme val="minor"/>
    </font>
    <font>
      <b/>
      <sz val="16"/>
      <color rgb="FF1F4E79"/>
      <name val="Calibri"/>
      <family val="2"/>
    </font>
    <font>
      <b/>
      <sz val="13"/>
      <color rgb="FF1F4E79"/>
      <name val="Calibri"/>
      <family val="2"/>
    </font>
    <font>
      <sz val="11"/>
      <color theme="1"/>
      <name val="Calibri"/>
      <family val="2"/>
    </font>
    <font>
      <b/>
      <sz val="11"/>
      <color rgb="FFFFFFFF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10"/>
      <color rgb="FF1F4E79"/>
      <name val="Aptos Narrow"/>
      <family val="2"/>
      <scheme val="minor"/>
    </font>
    <font>
      <b/>
      <sz val="13"/>
      <color rgb="FF1F4E79"/>
      <name val="Aptos Narrow"/>
      <family val="2"/>
      <scheme val="minor"/>
    </font>
    <font>
      <b/>
      <sz val="10"/>
      <color rgb="FF7F6000"/>
      <name val="Aptos Narrow"/>
      <family val="2"/>
      <scheme val="minor"/>
    </font>
    <font>
      <b/>
      <sz val="10"/>
      <color rgb="FF375623"/>
      <name val="Aptos Narrow"/>
      <family val="2"/>
      <scheme val="minor"/>
    </font>
    <font>
      <b/>
      <sz val="10"/>
      <color rgb="FF2E75B6"/>
      <name val="Aptos Narrow"/>
      <family val="2"/>
      <scheme val="minor"/>
    </font>
    <font>
      <sz val="10"/>
      <color rgb="FFC00000"/>
      <name val="Aptos Narrow"/>
      <family val="2"/>
      <scheme val="minor"/>
    </font>
    <font>
      <b/>
      <sz val="10"/>
      <color rgb="FFC00000"/>
      <name val="Aptos Narrow"/>
      <family val="2"/>
      <scheme val="minor"/>
    </font>
    <font>
      <b/>
      <sz val="10"/>
      <color rgb="FF6A1B9A"/>
      <name val="Aptos Narrow"/>
      <family val="2"/>
      <scheme val="minor"/>
    </font>
    <font>
      <b/>
      <sz val="14"/>
      <color rgb="FF6A1B9A"/>
      <name val="Aptos Narrow"/>
      <family val="2"/>
      <scheme val="minor"/>
    </font>
    <font>
      <b/>
      <sz val="10"/>
      <color rgb="FFBF360C"/>
      <name val="Aptos Narrow"/>
      <family val="2"/>
      <scheme val="minor"/>
    </font>
    <font>
      <b/>
      <sz val="14"/>
      <color rgb="FFBF360C"/>
      <name val="Aptos Narrow"/>
      <family val="2"/>
      <scheme val="minor"/>
    </font>
    <font>
      <b/>
      <sz val="11"/>
      <color rgb="FF7F6000"/>
      <name val="Aptos Narrow"/>
      <family val="2"/>
      <scheme val="minor"/>
    </font>
    <font>
      <b/>
      <sz val="10"/>
      <color rgb="FFFFFFFF"/>
      <name val="Aptos Narrow"/>
      <family val="2"/>
      <scheme val="minor"/>
    </font>
    <font>
      <b/>
      <sz val="11"/>
      <color rgb="FFBF360C"/>
      <name val="Aptos Narrow"/>
      <family val="2"/>
      <scheme val="minor"/>
    </font>
    <font>
      <sz val="10"/>
      <color rgb="FF9C6500"/>
      <name val="Aptos Narrow"/>
      <family val="2"/>
      <scheme val="minor"/>
    </font>
    <font>
      <b/>
      <sz val="10"/>
      <color rgb="FF9C6500"/>
      <name val="Aptos Narrow"/>
      <family val="2"/>
      <scheme val="minor"/>
    </font>
    <font>
      <sz val="10"/>
      <color rgb="FF006100"/>
      <name val="Aptos Narrow"/>
      <family val="2"/>
      <scheme val="minor"/>
    </font>
    <font>
      <b/>
      <sz val="10"/>
      <color rgb="FF006100"/>
      <name val="Aptos Narrow"/>
      <family val="2"/>
      <scheme val="minor"/>
    </font>
    <font>
      <sz val="10"/>
      <color rgb="FF974706"/>
      <name val="Aptos Narrow"/>
      <family val="2"/>
      <scheme val="minor"/>
    </font>
    <font>
      <b/>
      <sz val="10"/>
      <color rgb="FF974706"/>
      <name val="Aptos Narrow"/>
      <family val="2"/>
      <scheme val="minor"/>
    </font>
    <font>
      <sz val="10"/>
      <color rgb="FF9C0006"/>
      <name val="Aptos Narrow"/>
      <family val="2"/>
      <scheme val="minor"/>
    </font>
    <font>
      <b/>
      <sz val="10"/>
      <color rgb="FF9C0006"/>
      <name val="Aptos Narrow"/>
      <family val="2"/>
      <scheme val="minor"/>
    </font>
    <font>
      <i/>
      <sz val="10"/>
      <color rgb="FFBF360C"/>
      <name val="Aptos Narrow"/>
      <family val="2"/>
      <scheme val="minor"/>
    </font>
    <font>
      <b/>
      <sz val="13"/>
      <color rgb="FFBF360C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D6E4F0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CE4EC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F3E5F5"/>
        <bgColor indexed="64"/>
      </patternFill>
    </fill>
    <fill>
      <patternFill patternType="solid">
        <fgColor rgb="FFFFF3E0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CD5B4"/>
        <bgColor indexed="64"/>
      </patternFill>
    </fill>
    <fill>
      <patternFill patternType="solid">
        <fgColor rgb="FFFFC7CE"/>
        <bgColor indexed="64"/>
      </patternFill>
    </fill>
  </fills>
  <borders count="10">
    <border>
      <left/>
      <right/>
      <top/>
      <bottom/>
      <diagonal/>
    </border>
    <border>
      <left style="thin">
        <color rgb="FFC0C0C0"/>
      </left>
      <right style="thin">
        <color rgb="FFC0C0C0"/>
      </right>
      <top/>
      <bottom style="thin">
        <color rgb="FFC0C0C0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medium">
        <color rgb="FF7F6000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medium">
        <color rgb="FF1F4E79"/>
      </bottom>
      <diagonal/>
    </border>
    <border>
      <left style="thin">
        <color rgb="FFC0C0C0"/>
      </left>
      <right style="thin">
        <color rgb="FFC0C0C0"/>
      </right>
      <top style="medium">
        <color rgb="FF7F6000"/>
      </top>
      <bottom style="medium">
        <color rgb="FF1F4E79"/>
      </bottom>
      <diagonal/>
    </border>
    <border>
      <left/>
      <right/>
      <top style="medium">
        <color rgb="FFBF360C"/>
      </top>
      <bottom style="medium">
        <color rgb="FFBF360C"/>
      </bottom>
      <diagonal/>
    </border>
    <border>
      <left style="medium">
        <color rgb="FFBF360C"/>
      </left>
      <right/>
      <top style="medium">
        <color rgb="FFBF360C"/>
      </top>
      <bottom style="medium">
        <color rgb="FFBF360C"/>
      </bottom>
      <diagonal/>
    </border>
    <border>
      <left/>
      <right style="medium">
        <color rgb="FFBF360C"/>
      </right>
      <top style="medium">
        <color rgb="FFBF360C"/>
      </top>
      <bottom style="medium">
        <color rgb="FFBF360C"/>
      </bottom>
      <diagonal/>
    </border>
  </borders>
  <cellStyleXfs count="1">
    <xf numFmtId="0" fontId="0" fillId="0" borderId="0"/>
  </cellStyleXfs>
  <cellXfs count="139">
    <xf numFmtId="0" fontId="0" fillId="0" borderId="0" xfId="0"/>
    <xf numFmtId="0" fontId="2" fillId="0" borderId="0" xfId="0" applyFont="1"/>
    <xf numFmtId="0" fontId="5" fillId="2" borderId="0" xfId="0" applyFont="1" applyFill="1"/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0" fontId="0" fillId="0" borderId="2" xfId="0" applyBorder="1" applyAlignment="1">
      <alignment vertical="center"/>
    </xf>
    <xf numFmtId="0" fontId="0" fillId="0" borderId="2" xfId="0" applyBorder="1" applyAlignment="1">
      <alignment vertical="center" wrapText="1"/>
    </xf>
    <xf numFmtId="164" fontId="0" fillId="0" borderId="2" xfId="0" applyNumberFormat="1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7" fillId="4" borderId="2" xfId="0" applyFont="1" applyFill="1" applyBorder="1" applyAlignment="1">
      <alignment vertical="center"/>
    </xf>
    <xf numFmtId="0" fontId="7" fillId="4" borderId="2" xfId="0" applyFont="1" applyFill="1" applyBorder="1" applyAlignment="1">
      <alignment vertical="center" wrapText="1"/>
    </xf>
    <xf numFmtId="164" fontId="7" fillId="4" borderId="2" xfId="0" applyNumberFormat="1" applyFont="1" applyFill="1" applyBorder="1" applyAlignment="1">
      <alignment vertical="center"/>
    </xf>
    <xf numFmtId="0" fontId="7" fillId="4" borderId="2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vertical="center"/>
    </xf>
    <xf numFmtId="0" fontId="4" fillId="5" borderId="2" xfId="0" applyFont="1" applyFill="1" applyBorder="1" applyAlignment="1">
      <alignment vertical="center" wrapText="1"/>
    </xf>
    <xf numFmtId="164" fontId="4" fillId="5" borderId="2" xfId="0" applyNumberFormat="1" applyFont="1" applyFill="1" applyBorder="1" applyAlignment="1">
      <alignment vertical="center"/>
    </xf>
    <xf numFmtId="0" fontId="4" fillId="5" borderId="2" xfId="0" applyFont="1" applyFill="1" applyBorder="1" applyAlignment="1">
      <alignment horizontal="center" vertical="center"/>
    </xf>
    <xf numFmtId="0" fontId="3" fillId="7" borderId="2" xfId="0" applyFont="1" applyFill="1" applyBorder="1" applyAlignment="1">
      <alignment vertical="center"/>
    </xf>
    <xf numFmtId="0" fontId="3" fillId="7" borderId="2" xfId="0" applyFont="1" applyFill="1" applyBorder="1" applyAlignment="1">
      <alignment vertical="center" wrapText="1"/>
    </xf>
    <xf numFmtId="164" fontId="3" fillId="7" borderId="2" xfId="0" applyNumberFormat="1" applyFont="1" applyFill="1" applyBorder="1" applyAlignment="1">
      <alignment vertical="center"/>
    </xf>
    <xf numFmtId="0" fontId="3" fillId="7" borderId="2" xfId="0" applyFont="1" applyFill="1" applyBorder="1" applyAlignment="1">
      <alignment horizontal="center" vertical="center"/>
    </xf>
    <xf numFmtId="0" fontId="9" fillId="8" borderId="2" xfId="0" applyFont="1" applyFill="1" applyBorder="1" applyAlignment="1">
      <alignment vertical="center"/>
    </xf>
    <xf numFmtId="0" fontId="9" fillId="8" borderId="2" xfId="0" applyFont="1" applyFill="1" applyBorder="1" applyAlignment="1">
      <alignment vertical="center" wrapText="1"/>
    </xf>
    <xf numFmtId="0" fontId="9" fillId="8" borderId="2" xfId="0" applyFont="1" applyFill="1" applyBorder="1" applyAlignment="1">
      <alignment horizontal="center" vertical="center"/>
    </xf>
    <xf numFmtId="0" fontId="8" fillId="6" borderId="3" xfId="0" applyFont="1" applyFill="1" applyBorder="1" applyAlignment="1">
      <alignment vertical="center"/>
    </xf>
    <xf numFmtId="0" fontId="8" fillId="6" borderId="3" xfId="0" applyFont="1" applyFill="1" applyBorder="1" applyAlignment="1">
      <alignment vertical="center" wrapText="1"/>
    </xf>
    <xf numFmtId="164" fontId="8" fillId="6" borderId="3" xfId="0" applyNumberFormat="1" applyFont="1" applyFill="1" applyBorder="1" applyAlignment="1">
      <alignment vertical="center"/>
    </xf>
    <xf numFmtId="0" fontId="8" fillId="6" borderId="3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vertical="center"/>
    </xf>
    <xf numFmtId="0" fontId="4" fillId="5" borderId="3" xfId="0" applyFont="1" applyFill="1" applyBorder="1" applyAlignment="1">
      <alignment vertical="center" wrapText="1"/>
    </xf>
    <xf numFmtId="164" fontId="4" fillId="5" borderId="3" xfId="0" applyNumberFormat="1" applyFont="1" applyFill="1" applyBorder="1" applyAlignment="1">
      <alignment vertical="center"/>
    </xf>
    <xf numFmtId="0" fontId="4" fillId="5" borderId="3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vertical="center"/>
    </xf>
    <xf numFmtId="0" fontId="6" fillId="3" borderId="1" xfId="0" applyFont="1" applyFill="1" applyBorder="1" applyAlignment="1">
      <alignment vertical="center" wrapText="1"/>
    </xf>
    <xf numFmtId="164" fontId="6" fillId="3" borderId="1" xfId="0" applyNumberFormat="1" applyFont="1" applyFill="1" applyBorder="1" applyAlignment="1">
      <alignment vertical="center"/>
    </xf>
    <xf numFmtId="0" fontId="6" fillId="3" borderId="1" xfId="0" applyFont="1" applyFill="1" applyBorder="1" applyAlignment="1">
      <alignment horizontal="center" vertical="center"/>
    </xf>
    <xf numFmtId="0" fontId="8" fillId="6" borderId="4" xfId="0" applyFont="1" applyFill="1" applyBorder="1" applyAlignment="1">
      <alignment vertical="center"/>
    </xf>
    <xf numFmtId="0" fontId="8" fillId="6" borderId="4" xfId="0" applyFont="1" applyFill="1" applyBorder="1" applyAlignment="1">
      <alignment vertical="center" wrapText="1"/>
    </xf>
    <xf numFmtId="164" fontId="8" fillId="6" borderId="4" xfId="0" applyNumberFormat="1" applyFont="1" applyFill="1" applyBorder="1" applyAlignment="1">
      <alignment vertical="center"/>
    </xf>
    <xf numFmtId="0" fontId="8" fillId="6" borderId="4" xfId="0" applyFont="1" applyFill="1" applyBorder="1" applyAlignment="1">
      <alignment horizontal="center" vertical="center"/>
    </xf>
    <xf numFmtId="0" fontId="3" fillId="7" borderId="3" xfId="0" applyFont="1" applyFill="1" applyBorder="1" applyAlignment="1">
      <alignment vertical="center"/>
    </xf>
    <xf numFmtId="0" fontId="3" fillId="7" borderId="3" xfId="0" applyFont="1" applyFill="1" applyBorder="1" applyAlignment="1">
      <alignment vertical="center" wrapText="1"/>
    </xf>
    <xf numFmtId="164" fontId="3" fillId="7" borderId="3" xfId="0" applyNumberFormat="1" applyFont="1" applyFill="1" applyBorder="1" applyAlignment="1">
      <alignment vertical="center"/>
    </xf>
    <xf numFmtId="0" fontId="3" fillId="7" borderId="3" xfId="0" applyFont="1" applyFill="1" applyBorder="1" applyAlignment="1">
      <alignment horizontal="center" vertical="center"/>
    </xf>
    <xf numFmtId="0" fontId="10" fillId="9" borderId="3" xfId="0" applyFont="1" applyFill="1" applyBorder="1" applyAlignment="1">
      <alignment vertical="center"/>
    </xf>
    <xf numFmtId="0" fontId="10" fillId="9" borderId="3" xfId="0" applyFont="1" applyFill="1" applyBorder="1" applyAlignment="1">
      <alignment vertical="center" wrapText="1"/>
    </xf>
    <xf numFmtId="0" fontId="10" fillId="9" borderId="3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vertical="center"/>
    </xf>
    <xf numFmtId="0" fontId="5" fillId="2" borderId="5" xfId="0" applyFont="1" applyFill="1" applyBorder="1" applyAlignment="1">
      <alignment vertical="center" wrapText="1"/>
    </xf>
    <xf numFmtId="0" fontId="5" fillId="2" borderId="5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vertical="center"/>
    </xf>
    <xf numFmtId="0" fontId="5" fillId="2" borderId="6" xfId="0" applyFont="1" applyFill="1" applyBorder="1" applyAlignment="1">
      <alignment vertical="center" wrapText="1"/>
    </xf>
    <xf numFmtId="0" fontId="5" fillId="2" borderId="6" xfId="0" applyFont="1" applyFill="1" applyBorder="1" applyAlignment="1">
      <alignment horizontal="center" vertical="center"/>
    </xf>
    <xf numFmtId="164" fontId="5" fillId="2" borderId="5" xfId="0" applyNumberFormat="1" applyFont="1" applyFill="1" applyBorder="1" applyAlignment="1">
      <alignment vertical="center"/>
    </xf>
    <xf numFmtId="164" fontId="9" fillId="8" borderId="2" xfId="0" applyNumberFormat="1" applyFont="1" applyFill="1" applyBorder="1" applyAlignment="1">
      <alignment vertical="center"/>
    </xf>
    <xf numFmtId="164" fontId="10" fillId="9" borderId="3" xfId="0" applyNumberFormat="1" applyFont="1" applyFill="1" applyBorder="1" applyAlignment="1">
      <alignment vertical="center"/>
    </xf>
    <xf numFmtId="164" fontId="5" fillId="2" borderId="6" xfId="0" applyNumberFormat="1" applyFont="1" applyFill="1" applyBorder="1" applyAlignment="1">
      <alignment vertical="center"/>
    </xf>
    <xf numFmtId="0" fontId="11" fillId="0" borderId="0" xfId="0" applyFont="1"/>
    <xf numFmtId="0" fontId="12" fillId="0" borderId="0" xfId="0" applyFont="1"/>
    <xf numFmtId="0" fontId="13" fillId="0" borderId="0" xfId="0" applyFont="1"/>
    <xf numFmtId="0" fontId="14" fillId="0" borderId="0" xfId="0" applyFont="1"/>
    <xf numFmtId="0" fontId="15" fillId="0" borderId="0" xfId="0" applyFont="1"/>
    <xf numFmtId="0" fontId="16" fillId="0" borderId="0" xfId="0" applyFont="1"/>
    <xf numFmtId="0" fontId="17" fillId="0" borderId="0" xfId="0" applyFont="1"/>
    <xf numFmtId="0" fontId="18" fillId="0" borderId="0" xfId="0" applyFont="1" applyAlignment="1">
      <alignment vertical="center" wrapText="1"/>
    </xf>
    <xf numFmtId="0" fontId="19" fillId="0" borderId="0" xfId="0" applyFont="1" applyAlignment="1">
      <alignment vertical="center" wrapText="1"/>
    </xf>
    <xf numFmtId="0" fontId="20" fillId="0" borderId="0" xfId="0" applyFont="1" applyAlignment="1">
      <alignment vertical="center" wrapText="1"/>
    </xf>
    <xf numFmtId="0" fontId="19" fillId="3" borderId="0" xfId="0" applyFont="1" applyFill="1" applyAlignment="1">
      <alignment vertical="center" wrapText="1"/>
    </xf>
    <xf numFmtId="0" fontId="2" fillId="3" borderId="0" xfId="0" applyFont="1" applyFill="1" applyAlignment="1">
      <alignment vertical="center" wrapText="1"/>
    </xf>
    <xf numFmtId="0" fontId="0" fillId="0" borderId="0" xfId="0" applyFont="1" applyAlignment="1">
      <alignment vertical="center" wrapText="1"/>
    </xf>
    <xf numFmtId="0" fontId="36" fillId="0" borderId="0" xfId="0" applyFont="1" applyAlignment="1">
      <alignment vertical="center" wrapText="1"/>
    </xf>
    <xf numFmtId="0" fontId="21" fillId="2" borderId="2" xfId="0" applyFont="1" applyFill="1" applyBorder="1" applyAlignment="1">
      <alignment vertical="center" wrapText="1"/>
    </xf>
    <xf numFmtId="0" fontId="22" fillId="3" borderId="2" xfId="0" applyFont="1" applyFill="1" applyBorder="1" applyAlignment="1">
      <alignment vertical="center" wrapText="1"/>
    </xf>
    <xf numFmtId="0" fontId="12" fillId="0" borderId="2" xfId="0" applyFont="1" applyBorder="1" applyAlignment="1">
      <alignment vertical="center" wrapText="1"/>
    </xf>
    <xf numFmtId="0" fontId="11" fillId="3" borderId="2" xfId="0" applyFont="1" applyFill="1" applyBorder="1" applyAlignment="1">
      <alignment vertical="center" wrapText="1"/>
    </xf>
    <xf numFmtId="0" fontId="13" fillId="0" borderId="2" xfId="0" applyFont="1" applyBorder="1" applyAlignment="1">
      <alignment vertical="center" wrapText="1"/>
    </xf>
    <xf numFmtId="0" fontId="14" fillId="6" borderId="2" xfId="0" applyFont="1" applyFill="1" applyBorder="1" applyAlignment="1">
      <alignment vertical="center" wrapText="1"/>
    </xf>
    <xf numFmtId="0" fontId="15" fillId="4" borderId="2" xfId="0" applyFont="1" applyFill="1" applyBorder="1" applyAlignment="1">
      <alignment vertical="center" wrapText="1"/>
    </xf>
    <xf numFmtId="0" fontId="17" fillId="7" borderId="2" xfId="0" applyFont="1" applyFill="1" applyBorder="1" applyAlignment="1">
      <alignment vertical="center" wrapText="1"/>
    </xf>
    <xf numFmtId="0" fontId="16" fillId="5" borderId="2" xfId="0" applyFont="1" applyFill="1" applyBorder="1" applyAlignment="1">
      <alignment vertical="center" wrapText="1"/>
    </xf>
    <xf numFmtId="0" fontId="31" fillId="8" borderId="2" xfId="0" applyFont="1" applyFill="1" applyBorder="1" applyAlignment="1">
      <alignment vertical="center" wrapText="1"/>
    </xf>
    <xf numFmtId="0" fontId="33" fillId="9" borderId="2" xfId="0" applyFont="1" applyFill="1" applyBorder="1" applyAlignment="1">
      <alignment vertical="center" wrapText="1"/>
    </xf>
    <xf numFmtId="0" fontId="23" fillId="3" borderId="2" xfId="0" applyFont="1" applyFill="1" applyBorder="1" applyAlignment="1">
      <alignment vertical="center" wrapText="1"/>
    </xf>
    <xf numFmtId="0" fontId="22" fillId="0" borderId="2" xfId="0" applyFont="1" applyBorder="1" applyAlignment="1">
      <alignment vertical="center" wrapText="1"/>
    </xf>
    <xf numFmtId="0" fontId="25" fillId="6" borderId="2" xfId="0" applyFont="1" applyFill="1" applyBorder="1" applyAlignment="1">
      <alignment vertical="center" wrapText="1"/>
    </xf>
    <xf numFmtId="0" fontId="26" fillId="4" borderId="2" xfId="0" applyFont="1" applyFill="1" applyBorder="1" applyAlignment="1">
      <alignment vertical="center" wrapText="1"/>
    </xf>
    <xf numFmtId="0" fontId="27" fillId="7" borderId="2" xfId="0" applyFont="1" applyFill="1" applyBorder="1" applyAlignment="1">
      <alignment vertical="center" wrapText="1"/>
    </xf>
    <xf numFmtId="0" fontId="29" fillId="5" borderId="2" xfId="0" applyFont="1" applyFill="1" applyBorder="1" applyAlignment="1">
      <alignment vertical="center" wrapText="1"/>
    </xf>
    <xf numFmtId="0" fontId="30" fillId="8" borderId="2" xfId="0" applyFont="1" applyFill="1" applyBorder="1" applyAlignment="1">
      <alignment vertical="center" wrapText="1"/>
    </xf>
    <xf numFmtId="0" fontId="32" fillId="9" borderId="2" xfId="0" applyFont="1" applyFill="1" applyBorder="1" applyAlignment="1">
      <alignment vertical="center" wrapText="1"/>
    </xf>
    <xf numFmtId="0" fontId="12" fillId="3" borderId="2" xfId="0" applyFont="1" applyFill="1" applyBorder="1" applyAlignment="1">
      <alignment vertical="center" wrapText="1"/>
    </xf>
    <xf numFmtId="0" fontId="12" fillId="3" borderId="2" xfId="0" applyFont="1" applyFill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 wrapText="1"/>
    </xf>
    <xf numFmtId="15" fontId="12" fillId="0" borderId="2" xfId="0" applyNumberFormat="1" applyFont="1" applyBorder="1" applyAlignment="1">
      <alignment vertical="center" wrapText="1"/>
    </xf>
    <xf numFmtId="0" fontId="29" fillId="0" borderId="2" xfId="0" applyFont="1" applyBorder="1" applyAlignment="1">
      <alignment vertical="center" wrapText="1"/>
    </xf>
    <xf numFmtId="15" fontId="29" fillId="0" borderId="2" xfId="0" applyNumberFormat="1" applyFont="1" applyBorder="1" applyAlignment="1">
      <alignment vertical="center" wrapText="1"/>
    </xf>
    <xf numFmtId="0" fontId="34" fillId="6" borderId="2" xfId="0" applyFont="1" applyFill="1" applyBorder="1" applyAlignment="1">
      <alignment vertical="center" wrapText="1"/>
    </xf>
    <xf numFmtId="0" fontId="28" fillId="0" borderId="2" xfId="0" applyFont="1" applyBorder="1" applyAlignment="1">
      <alignment vertical="center" wrapText="1"/>
    </xf>
    <xf numFmtId="0" fontId="35" fillId="2" borderId="2" xfId="0" applyFont="1" applyFill="1" applyBorder="1" applyAlignment="1">
      <alignment vertical="center" wrapText="1"/>
    </xf>
    <xf numFmtId="0" fontId="35" fillId="2" borderId="2" xfId="0" applyFont="1" applyFill="1" applyBorder="1" applyAlignment="1">
      <alignment horizontal="center" vertical="center" wrapText="1"/>
    </xf>
    <xf numFmtId="0" fontId="22" fillId="3" borderId="2" xfId="0" applyFont="1" applyFill="1" applyBorder="1" applyAlignment="1">
      <alignment horizontal="center" vertical="center" wrapText="1"/>
    </xf>
    <xf numFmtId="0" fontId="37" fillId="10" borderId="2" xfId="0" applyFont="1" applyFill="1" applyBorder="1" applyAlignment="1">
      <alignment vertical="center" wrapText="1"/>
    </xf>
    <xf numFmtId="0" fontId="39" fillId="11" borderId="2" xfId="0" applyFont="1" applyFill="1" applyBorder="1" applyAlignment="1">
      <alignment vertical="center" wrapText="1"/>
    </xf>
    <xf numFmtId="0" fontId="41" fillId="12" borderId="2" xfId="0" applyFont="1" applyFill="1" applyBorder="1" applyAlignment="1">
      <alignment vertical="center" wrapText="1"/>
    </xf>
    <xf numFmtId="0" fontId="43" fillId="13" borderId="2" xfId="0" applyFont="1" applyFill="1" applyBorder="1" applyAlignment="1">
      <alignment vertical="center" wrapText="1"/>
    </xf>
    <xf numFmtId="0" fontId="38" fillId="10" borderId="2" xfId="0" applyFont="1" applyFill="1" applyBorder="1" applyAlignment="1">
      <alignment vertical="center" wrapText="1"/>
    </xf>
    <xf numFmtId="0" fontId="40" fillId="11" borderId="2" xfId="0" applyFont="1" applyFill="1" applyBorder="1" applyAlignment="1">
      <alignment vertical="center" wrapText="1"/>
    </xf>
    <xf numFmtId="0" fontId="42" fillId="12" borderId="2" xfId="0" applyFont="1" applyFill="1" applyBorder="1" applyAlignment="1">
      <alignment vertical="center" wrapText="1"/>
    </xf>
    <xf numFmtId="0" fontId="44" fillId="13" borderId="2" xfId="0" applyFont="1" applyFill="1" applyBorder="1" applyAlignment="1">
      <alignment vertical="center" wrapText="1"/>
    </xf>
    <xf numFmtId="0" fontId="6" fillId="3" borderId="1" xfId="0" applyFont="1" applyFill="1" applyBorder="1" applyAlignment="1">
      <alignment vertical="center" wrapText="1" indent="1"/>
    </xf>
    <xf numFmtId="0" fontId="6" fillId="3" borderId="1" xfId="0" applyFont="1" applyFill="1" applyBorder="1" applyAlignment="1">
      <alignment vertical="center" indent="1"/>
    </xf>
    <xf numFmtId="0" fontId="0" fillId="0" borderId="2" xfId="0" applyBorder="1" applyAlignment="1">
      <alignment vertical="center" wrapText="1" indent="2"/>
    </xf>
    <xf numFmtId="0" fontId="0" fillId="0" borderId="2" xfId="0" applyBorder="1" applyAlignment="1">
      <alignment vertical="center" indent="2"/>
    </xf>
    <xf numFmtId="0" fontId="7" fillId="4" borderId="2" xfId="0" applyFont="1" applyFill="1" applyBorder="1" applyAlignment="1">
      <alignment vertical="center" wrapText="1" indent="2"/>
    </xf>
    <xf numFmtId="0" fontId="7" fillId="4" borderId="2" xfId="0" applyFont="1" applyFill="1" applyBorder="1" applyAlignment="1">
      <alignment vertical="center" indent="2"/>
    </xf>
    <xf numFmtId="0" fontId="4" fillId="5" borderId="3" xfId="0" applyFont="1" applyFill="1" applyBorder="1" applyAlignment="1">
      <alignment vertical="center" wrapText="1" indent="2"/>
    </xf>
    <xf numFmtId="0" fontId="4" fillId="5" borderId="3" xfId="0" applyFont="1" applyFill="1" applyBorder="1" applyAlignment="1">
      <alignment vertical="center" indent="2"/>
    </xf>
    <xf numFmtId="0" fontId="8" fillId="6" borderId="4" xfId="0" applyFont="1" applyFill="1" applyBorder="1" applyAlignment="1">
      <alignment vertical="center" wrapText="1" indent="2"/>
    </xf>
    <xf numFmtId="0" fontId="8" fillId="6" borderId="4" xfId="0" applyFont="1" applyFill="1" applyBorder="1" applyAlignment="1">
      <alignment vertical="center" indent="2"/>
    </xf>
    <xf numFmtId="0" fontId="3" fillId="7" borderId="2" xfId="0" applyFont="1" applyFill="1" applyBorder="1" applyAlignment="1">
      <alignment vertical="center" wrapText="1" indent="2"/>
    </xf>
    <xf numFmtId="0" fontId="3" fillId="7" borderId="2" xfId="0" applyFont="1" applyFill="1" applyBorder="1" applyAlignment="1">
      <alignment vertical="center" indent="2"/>
    </xf>
    <xf numFmtId="0" fontId="3" fillId="7" borderId="3" xfId="0" applyFont="1" applyFill="1" applyBorder="1" applyAlignment="1">
      <alignment vertical="center" wrapText="1" indent="2"/>
    </xf>
    <xf numFmtId="0" fontId="3" fillId="7" borderId="3" xfId="0" applyFont="1" applyFill="1" applyBorder="1" applyAlignment="1">
      <alignment vertical="center" indent="2"/>
    </xf>
    <xf numFmtId="0" fontId="4" fillId="5" borderId="2" xfId="0" applyFont="1" applyFill="1" applyBorder="1" applyAlignment="1">
      <alignment vertical="center" wrapText="1" indent="2"/>
    </xf>
    <xf numFmtId="0" fontId="4" fillId="5" borderId="2" xfId="0" applyFont="1" applyFill="1" applyBorder="1" applyAlignment="1">
      <alignment vertical="center" indent="2"/>
    </xf>
    <xf numFmtId="0" fontId="9" fillId="8" borderId="2" xfId="0" applyFont="1" applyFill="1" applyBorder="1" applyAlignment="1">
      <alignment vertical="center" wrapText="1" indent="2"/>
    </xf>
    <xf numFmtId="0" fontId="9" fillId="8" borderId="2" xfId="0" applyFont="1" applyFill="1" applyBorder="1" applyAlignment="1">
      <alignment vertical="center" indent="2"/>
    </xf>
    <xf numFmtId="0" fontId="10" fillId="9" borderId="3" xfId="0" applyFont="1" applyFill="1" applyBorder="1" applyAlignment="1">
      <alignment vertical="center" wrapText="1" indent="2"/>
    </xf>
    <xf numFmtId="0" fontId="10" fillId="9" borderId="3" xfId="0" applyFont="1" applyFill="1" applyBorder="1" applyAlignment="1">
      <alignment vertical="center" indent="2"/>
    </xf>
    <xf numFmtId="0" fontId="8" fillId="6" borderId="3" xfId="0" applyFont="1" applyFill="1" applyBorder="1" applyAlignment="1">
      <alignment vertical="center" wrapText="1" indent="2"/>
    </xf>
    <xf numFmtId="0" fontId="8" fillId="6" borderId="3" xfId="0" applyFont="1" applyFill="1" applyBorder="1" applyAlignment="1">
      <alignment vertical="center" indent="2"/>
    </xf>
    <xf numFmtId="0" fontId="45" fillId="9" borderId="7" xfId="0" applyFont="1" applyFill="1" applyBorder="1" applyAlignment="1">
      <alignment vertical="top" wrapText="1"/>
    </xf>
    <xf numFmtId="0" fontId="45" fillId="9" borderId="8" xfId="0" applyFont="1" applyFill="1" applyBorder="1" applyAlignment="1">
      <alignment vertical="top" wrapText="1"/>
    </xf>
    <xf numFmtId="0" fontId="45" fillId="9" borderId="9" xfId="0" applyFont="1" applyFill="1" applyBorder="1" applyAlignment="1">
      <alignment vertical="top" wrapText="1"/>
    </xf>
    <xf numFmtId="0" fontId="46" fillId="0" borderId="0" xfId="0" applyFont="1" applyAlignment="1">
      <alignment vertical="center" wrapText="1"/>
    </xf>
    <xf numFmtId="0" fontId="45" fillId="9" borderId="0" xfId="0" applyFont="1" applyFill="1" applyAlignment="1">
      <alignment vertical="center" wrapText="1"/>
    </xf>
    <xf numFmtId="0" fontId="24" fillId="0" borderId="2" xfId="0" applyFont="1" applyBorder="1" applyAlignment="1">
      <alignment vertical="center" wrapText="1"/>
    </xf>
  </cellXfs>
  <cellStyles count="1">
    <cellStyle name="Normal" xfId="0" builtinId="0"/>
  </cellStyles>
  <dxfs count="8">
    <dxf>
      <font>
        <color rgb="FF974706"/>
      </font>
      <fill>
        <patternFill patternType="solid">
          <fgColor indexed="64"/>
          <bgColor rgb="FFFCD5B4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6500"/>
      </font>
      <fill>
        <patternFill patternType="solid">
          <fgColor indexed="64"/>
          <bgColor rgb="FFFFEB9C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  <dxf>
      <font>
        <color rgb="FF974706"/>
      </font>
      <fill>
        <patternFill patternType="solid">
          <fgColor indexed="64"/>
          <bgColor rgb="FFFCD5B4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6500"/>
      </font>
      <fill>
        <patternFill patternType="solid">
          <fgColor indexed="64"/>
          <bgColor rgb="FFFFEB9C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WES Project Plan — Gantt Chart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'Gantt Chart'!$H$1</c:f>
              <c:strCache>
                <c:ptCount val="1"/>
                <c:pt idx="0">
                  <c:v>Start Offset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'Gantt Chart'!$H$2:$H$52</c:f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'Gantt Chart'!$G$2:$G$52</c15:sqref>
                        </c15:formulaRef>
                      </c:ext>
                    </c:extLst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6E2E-CF4D-8F4C-BB027E5B748D}"/>
            </c:ext>
          </c:extLst>
        </c:ser>
        <c:ser>
          <c:idx val="1"/>
          <c:order val="1"/>
          <c:tx>
            <c:strRef>
              <c:f>'Gantt Chart'!$I$1</c:f>
              <c:strCache>
                <c:ptCount val="1"/>
                <c:pt idx="0">
                  <c:v>Duration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'Gantt Chart'!$I$2:$I$52</c:f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'Gantt Chart'!$G$2:$G$52</c15:sqref>
                        </c15:formulaRef>
                      </c:ext>
                    </c:extLst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1-6E2E-CF4D-8F4C-BB027E5B74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753081344"/>
        <c:axId val="753088512"/>
      </c:barChart>
      <c:catAx>
        <c:axId val="7530813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53088512"/>
        <c:crosses val="autoZero"/>
        <c:auto val="1"/>
        <c:lblAlgn val="ctr"/>
        <c:lblOffset val="100"/>
        <c:noMultiLvlLbl val="0"/>
      </c:catAx>
      <c:valAx>
        <c:axId val="7530885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rgbClr val="E0E0E0"/>
              </a:solidFill>
              <a:prstDash val="solid"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Days from Project Start (Apr 13, 2026)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30813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762000</xdr:colOff>
      <xdr:row>0</xdr:row>
      <xdr:rowOff>127000</xdr:rowOff>
    </xdr:from>
    <xdr:to>
      <xdr:col>21</xdr:col>
      <xdr:colOff>444500</xdr:colOff>
      <xdr:row>88</xdr:row>
      <xdr:rowOff>25400</xdr:rowOff>
    </xdr:to>
    <xdr:graphicFrame macro="">
      <xdr:nvGraphicFramePr>
        <xdr:cNvPr id="3" name="GanttChart">
          <a:extLst>
            <a:ext uri="{FF2B5EF4-FFF2-40B4-BE49-F238E27FC236}">
              <a16:creationId xmlns:a16="http://schemas.microsoft.com/office/drawing/2014/main" id="{5DA0DB8C-3E69-05B9-9846-ED01F810E04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FF7C4A5F-CE21-9240-A2AB-DC64971E918E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0b5fe878-327b-4501-bdc3-a9f43dc07114&quot;"/>
  </we:properties>
  <we:bindings/>
  <we:snapshot xmlns:r="http://schemas.openxmlformats.org/officeDocument/2006/relationships"/>
</we:webextension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4F4712-7106-EE4E-AEFB-DD0AFD8ACD95}">
  <dimension ref="A1:E78"/>
  <sheetViews>
    <sheetView topLeftCell="A4" workbookViewId="0">
      <selection activeCell="C9" sqref="C9"/>
    </sheetView>
  </sheetViews>
  <sheetFormatPr baseColWidth="10" defaultRowHeight="16" x14ac:dyDescent="0.2"/>
  <cols>
    <col min="1" max="1" width="70.33203125" style="3" bestFit="1" customWidth="1"/>
    <col min="2" max="2" width="41.6640625" style="3" customWidth="1"/>
    <col min="3" max="3" width="75" style="3" customWidth="1"/>
    <col min="4" max="4" width="58.33203125" style="3" customWidth="1"/>
    <col min="5" max="5" width="47.83203125" style="3" bestFit="1" customWidth="1"/>
    <col min="6" max="16384" width="10.83203125" style="3"/>
  </cols>
  <sheetData>
    <row r="1" spans="1:5" ht="32" customHeight="1" x14ac:dyDescent="0.2">
      <c r="A1" s="66" t="s">
        <v>220</v>
      </c>
      <c r="B1" s="4"/>
      <c r="C1" s="4"/>
      <c r="D1" s="4"/>
      <c r="E1" s="4"/>
    </row>
    <row r="2" spans="1:5" ht="16" customHeight="1" x14ac:dyDescent="0.2">
      <c r="A2" s="4"/>
      <c r="B2" s="4"/>
      <c r="C2" s="4"/>
      <c r="D2" s="4"/>
      <c r="E2" s="4"/>
    </row>
    <row r="3" spans="1:5" ht="18" customHeight="1" x14ac:dyDescent="0.2">
      <c r="A3" s="67" t="s">
        <v>221</v>
      </c>
      <c r="B3" s="4"/>
      <c r="C3" s="4"/>
      <c r="D3" s="4"/>
      <c r="E3" s="4"/>
    </row>
    <row r="4" spans="1:5" ht="64" customHeight="1" x14ac:dyDescent="0.2">
      <c r="A4" s="68" t="s">
        <v>222</v>
      </c>
      <c r="B4" s="4"/>
      <c r="C4" s="4"/>
      <c r="D4" s="4"/>
      <c r="E4" s="4"/>
    </row>
    <row r="5" spans="1:5" ht="16" customHeight="1" x14ac:dyDescent="0.2">
      <c r="A5" s="4"/>
      <c r="B5" s="4"/>
      <c r="C5" s="4"/>
      <c r="D5" s="4"/>
      <c r="E5" s="4"/>
    </row>
    <row r="6" spans="1:5" ht="18" customHeight="1" x14ac:dyDescent="0.2">
      <c r="A6" s="67" t="s">
        <v>223</v>
      </c>
      <c r="B6" s="4"/>
      <c r="C6" s="4"/>
      <c r="D6" s="4"/>
      <c r="E6" s="4"/>
    </row>
    <row r="7" spans="1:5" ht="16" customHeight="1" x14ac:dyDescent="0.2">
      <c r="A7" s="68" t="s">
        <v>224</v>
      </c>
      <c r="B7" s="4"/>
      <c r="C7" s="4"/>
      <c r="D7" s="4"/>
      <c r="E7" s="4"/>
    </row>
    <row r="8" spans="1:5" ht="16" customHeight="1" x14ac:dyDescent="0.2">
      <c r="A8" s="4"/>
      <c r="B8" s="4"/>
      <c r="C8" s="4"/>
      <c r="D8" s="4"/>
      <c r="E8" s="4"/>
    </row>
    <row r="9" spans="1:5" ht="16" customHeight="1" x14ac:dyDescent="0.2">
      <c r="A9" s="73" t="s">
        <v>225</v>
      </c>
      <c r="B9" s="73" t="s">
        <v>226</v>
      </c>
      <c r="C9" s="4"/>
      <c r="D9" s="4"/>
      <c r="E9" s="4"/>
    </row>
    <row r="10" spans="1:5" ht="60" customHeight="1" x14ac:dyDescent="0.2">
      <c r="A10" s="74" t="s">
        <v>227</v>
      </c>
      <c r="B10" s="75" t="s">
        <v>228</v>
      </c>
      <c r="C10" s="4"/>
      <c r="D10" s="4"/>
      <c r="E10" s="4"/>
    </row>
    <row r="11" spans="1:5" ht="30" customHeight="1" x14ac:dyDescent="0.2">
      <c r="A11" s="74" t="s">
        <v>229</v>
      </c>
      <c r="B11" s="75" t="s">
        <v>230</v>
      </c>
      <c r="C11" s="4"/>
      <c r="D11" s="4"/>
      <c r="E11" s="4"/>
    </row>
    <row r="12" spans="1:5" ht="30" customHeight="1" x14ac:dyDescent="0.2">
      <c r="A12" s="74" t="s">
        <v>231</v>
      </c>
      <c r="B12" s="75" t="s">
        <v>232</v>
      </c>
      <c r="C12" s="4"/>
      <c r="D12" s="4"/>
      <c r="E12" s="4"/>
    </row>
    <row r="13" spans="1:5" ht="45" customHeight="1" x14ac:dyDescent="0.2">
      <c r="A13" s="74" t="s">
        <v>233</v>
      </c>
      <c r="B13" s="75" t="s">
        <v>234</v>
      </c>
      <c r="C13" s="4"/>
      <c r="D13" s="4"/>
      <c r="E13" s="4"/>
    </row>
    <row r="14" spans="1:5" ht="16" customHeight="1" x14ac:dyDescent="0.2">
      <c r="A14" s="74" t="s">
        <v>235</v>
      </c>
      <c r="B14" s="75" t="s">
        <v>236</v>
      </c>
      <c r="C14" s="4"/>
      <c r="D14" s="4"/>
      <c r="E14" s="4"/>
    </row>
    <row r="15" spans="1:5" ht="30" customHeight="1" x14ac:dyDescent="0.2">
      <c r="A15" s="74" t="s">
        <v>237</v>
      </c>
      <c r="B15" s="75" t="s">
        <v>238</v>
      </c>
      <c r="C15" s="4"/>
      <c r="D15" s="4"/>
      <c r="E15" s="4"/>
    </row>
    <row r="16" spans="1:5" ht="30" customHeight="1" x14ac:dyDescent="0.2">
      <c r="A16" s="74" t="s">
        <v>239</v>
      </c>
      <c r="B16" s="75" t="s">
        <v>240</v>
      </c>
      <c r="C16" s="4"/>
      <c r="D16" s="4"/>
      <c r="E16" s="4"/>
    </row>
    <row r="17" spans="1:5" ht="30" customHeight="1" x14ac:dyDescent="0.2">
      <c r="A17" s="74" t="s">
        <v>241</v>
      </c>
      <c r="B17" s="75" t="s">
        <v>242</v>
      </c>
      <c r="C17" s="4"/>
      <c r="D17" s="4"/>
      <c r="E17" s="4"/>
    </row>
    <row r="18" spans="1:5" ht="45" customHeight="1" x14ac:dyDescent="0.2">
      <c r="A18" s="74" t="s">
        <v>243</v>
      </c>
      <c r="B18" s="75" t="s">
        <v>244</v>
      </c>
      <c r="C18" s="4"/>
      <c r="D18" s="4"/>
      <c r="E18" s="4"/>
    </row>
    <row r="19" spans="1:5" ht="30" customHeight="1" x14ac:dyDescent="0.2">
      <c r="A19" s="74" t="s">
        <v>245</v>
      </c>
      <c r="B19" s="75" t="s">
        <v>246</v>
      </c>
      <c r="C19" s="4"/>
      <c r="D19" s="4"/>
      <c r="E19" s="4"/>
    </row>
    <row r="20" spans="1:5" ht="30" customHeight="1" x14ac:dyDescent="0.2">
      <c r="A20" s="74" t="s">
        <v>247</v>
      </c>
      <c r="B20" s="75" t="s">
        <v>248</v>
      </c>
      <c r="C20" s="4"/>
      <c r="D20" s="4"/>
      <c r="E20" s="4"/>
    </row>
    <row r="21" spans="1:5" ht="16" customHeight="1" x14ac:dyDescent="0.2">
      <c r="A21" s="4"/>
      <c r="B21" s="4"/>
      <c r="C21" s="4"/>
      <c r="D21" s="4"/>
      <c r="E21" s="4"/>
    </row>
    <row r="22" spans="1:5" ht="18" customHeight="1" x14ac:dyDescent="0.2">
      <c r="A22" s="69" t="s">
        <v>249</v>
      </c>
      <c r="B22" s="4"/>
      <c r="C22" s="4"/>
      <c r="D22" s="4"/>
      <c r="E22" s="4"/>
    </row>
    <row r="23" spans="1:5" ht="32" customHeight="1" x14ac:dyDescent="0.2">
      <c r="A23" s="70" t="s">
        <v>250</v>
      </c>
      <c r="B23" s="4"/>
      <c r="C23" s="4"/>
      <c r="D23" s="4"/>
      <c r="E23" s="4"/>
    </row>
    <row r="24" spans="1:5" ht="16" customHeight="1" x14ac:dyDescent="0.2">
      <c r="A24" s="4"/>
      <c r="B24" s="4"/>
      <c r="C24" s="4"/>
      <c r="D24" s="4"/>
      <c r="E24" s="4"/>
    </row>
    <row r="25" spans="1:5" ht="16" customHeight="1" x14ac:dyDescent="0.2">
      <c r="A25" s="73" t="s">
        <v>93</v>
      </c>
      <c r="B25" s="73" t="s">
        <v>251</v>
      </c>
      <c r="C25" s="73" t="s">
        <v>252</v>
      </c>
      <c r="D25" s="4"/>
      <c r="E25" s="4"/>
    </row>
    <row r="26" spans="1:5" ht="30" customHeight="1" x14ac:dyDescent="0.2">
      <c r="A26" s="84" t="s">
        <v>97</v>
      </c>
      <c r="B26" s="76" t="s">
        <v>217</v>
      </c>
      <c r="C26" s="75" t="s">
        <v>253</v>
      </c>
      <c r="D26" s="4"/>
      <c r="E26" s="4"/>
    </row>
    <row r="27" spans="1:5" ht="30" customHeight="1" x14ac:dyDescent="0.2">
      <c r="A27" s="85" t="s">
        <v>98</v>
      </c>
      <c r="B27" s="77" t="s">
        <v>217</v>
      </c>
      <c r="C27" s="75" t="s">
        <v>254</v>
      </c>
      <c r="D27" s="4"/>
      <c r="E27" s="4"/>
    </row>
    <row r="28" spans="1:5" ht="30" customHeight="1" x14ac:dyDescent="0.2">
      <c r="A28" s="86" t="s">
        <v>105</v>
      </c>
      <c r="B28" s="78" t="s">
        <v>255</v>
      </c>
      <c r="C28" s="75" t="s">
        <v>256</v>
      </c>
      <c r="D28" s="4"/>
      <c r="E28" s="4"/>
    </row>
    <row r="29" spans="1:5" ht="30" customHeight="1" x14ac:dyDescent="0.2">
      <c r="A29" s="87" t="s">
        <v>339</v>
      </c>
      <c r="B29" s="79" t="s">
        <v>217</v>
      </c>
      <c r="C29" s="75" t="s">
        <v>344</v>
      </c>
      <c r="D29" s="4"/>
      <c r="E29" s="4"/>
    </row>
    <row r="30" spans="1:5" ht="30" customHeight="1" x14ac:dyDescent="0.2">
      <c r="A30" s="88" t="s">
        <v>39</v>
      </c>
      <c r="B30" s="80" t="s">
        <v>217</v>
      </c>
      <c r="C30" s="75" t="s">
        <v>257</v>
      </c>
      <c r="D30" s="4"/>
      <c r="E30" s="4"/>
    </row>
    <row r="31" spans="1:5" ht="30" customHeight="1" x14ac:dyDescent="0.2">
      <c r="A31" s="89" t="s">
        <v>341</v>
      </c>
      <c r="B31" s="81" t="s">
        <v>217</v>
      </c>
      <c r="C31" s="75" t="s">
        <v>345</v>
      </c>
      <c r="D31" s="4"/>
      <c r="E31" s="4"/>
    </row>
    <row r="32" spans="1:5" ht="30" customHeight="1" x14ac:dyDescent="0.2">
      <c r="A32" s="90" t="s">
        <v>124</v>
      </c>
      <c r="B32" s="82" t="s">
        <v>217</v>
      </c>
      <c r="C32" s="75" t="s">
        <v>258</v>
      </c>
      <c r="D32" s="4"/>
      <c r="E32" s="4"/>
    </row>
    <row r="33" spans="1:5" ht="30" customHeight="1" x14ac:dyDescent="0.2">
      <c r="A33" s="91" t="s">
        <v>126</v>
      </c>
      <c r="B33" s="83" t="s">
        <v>217</v>
      </c>
      <c r="C33" s="75" t="s">
        <v>259</v>
      </c>
      <c r="D33" s="4"/>
      <c r="E33" s="4"/>
    </row>
    <row r="34" spans="1:5" ht="16" customHeight="1" x14ac:dyDescent="0.2">
      <c r="A34" s="4"/>
      <c r="B34" s="4"/>
      <c r="C34" s="4"/>
      <c r="D34" s="4"/>
      <c r="E34" s="4"/>
    </row>
    <row r="35" spans="1:5" ht="18" customHeight="1" x14ac:dyDescent="0.2">
      <c r="A35" s="67" t="s">
        <v>260</v>
      </c>
      <c r="B35" s="4"/>
      <c r="C35" s="4"/>
      <c r="D35" s="4"/>
      <c r="E35" s="4"/>
    </row>
    <row r="36" spans="1:5" ht="16" customHeight="1" x14ac:dyDescent="0.2">
      <c r="A36" s="4"/>
      <c r="B36" s="4"/>
      <c r="C36" s="4"/>
      <c r="D36" s="4"/>
      <c r="E36" s="4"/>
    </row>
    <row r="37" spans="1:5" ht="16" customHeight="1" x14ac:dyDescent="0.2">
      <c r="A37" s="73" t="s">
        <v>2</v>
      </c>
      <c r="B37" s="73" t="s">
        <v>261</v>
      </c>
      <c r="C37" s="73" t="s">
        <v>262</v>
      </c>
      <c r="D37" s="73" t="s">
        <v>263</v>
      </c>
      <c r="E37" s="73" t="s">
        <v>264</v>
      </c>
    </row>
    <row r="38" spans="1:5" ht="16" customHeight="1" x14ac:dyDescent="0.2">
      <c r="A38" s="74" t="s">
        <v>16</v>
      </c>
      <c r="B38" s="92" t="s">
        <v>265</v>
      </c>
      <c r="C38" s="92" t="s">
        <v>266</v>
      </c>
      <c r="D38" s="93">
        <v>10</v>
      </c>
      <c r="E38" s="92" t="s">
        <v>267</v>
      </c>
    </row>
    <row r="39" spans="1:5" ht="16" customHeight="1" x14ac:dyDescent="0.2">
      <c r="A39" s="85" t="s">
        <v>32</v>
      </c>
      <c r="B39" s="75" t="s">
        <v>268</v>
      </c>
      <c r="C39" s="75" t="s">
        <v>269</v>
      </c>
      <c r="D39" s="94">
        <v>5</v>
      </c>
      <c r="E39" s="75" t="s">
        <v>270</v>
      </c>
    </row>
    <row r="40" spans="1:5" ht="16" customHeight="1" x14ac:dyDescent="0.2">
      <c r="A40" s="74" t="s">
        <v>44</v>
      </c>
      <c r="B40" s="92" t="s">
        <v>271</v>
      </c>
      <c r="C40" s="92" t="s">
        <v>272</v>
      </c>
      <c r="D40" s="93">
        <v>5</v>
      </c>
      <c r="E40" s="92" t="s">
        <v>273</v>
      </c>
    </row>
    <row r="41" spans="1:5" ht="16" customHeight="1" x14ac:dyDescent="0.2">
      <c r="A41" s="85" t="s">
        <v>59</v>
      </c>
      <c r="B41" s="75" t="s">
        <v>274</v>
      </c>
      <c r="C41" s="75" t="s">
        <v>275</v>
      </c>
      <c r="D41" s="94">
        <v>10</v>
      </c>
      <c r="E41" s="75" t="s">
        <v>276</v>
      </c>
    </row>
    <row r="42" spans="1:5" ht="16" customHeight="1" x14ac:dyDescent="0.2">
      <c r="A42" s="74" t="s">
        <v>71</v>
      </c>
      <c r="B42" s="92" t="s">
        <v>277</v>
      </c>
      <c r="C42" s="92" t="s">
        <v>278</v>
      </c>
      <c r="D42" s="93">
        <v>10</v>
      </c>
      <c r="E42" s="92" t="s">
        <v>279</v>
      </c>
    </row>
    <row r="43" spans="1:5" ht="16" customHeight="1" x14ac:dyDescent="0.2">
      <c r="A43" s="85" t="s">
        <v>280</v>
      </c>
      <c r="B43" s="75" t="s">
        <v>281</v>
      </c>
      <c r="C43" s="75" t="s">
        <v>282</v>
      </c>
      <c r="D43" s="94">
        <v>20</v>
      </c>
      <c r="E43" s="75" t="s">
        <v>283</v>
      </c>
    </row>
    <row r="44" spans="1:5" ht="16" customHeight="1" x14ac:dyDescent="0.2">
      <c r="A44" s="4"/>
      <c r="B44" s="4"/>
      <c r="C44" s="4"/>
      <c r="D44" s="4"/>
      <c r="E44" s="4"/>
    </row>
    <row r="45" spans="1:5" ht="18" customHeight="1" x14ac:dyDescent="0.2">
      <c r="A45" s="67" t="s">
        <v>284</v>
      </c>
      <c r="B45" s="4"/>
      <c r="C45" s="4"/>
      <c r="D45" s="4"/>
      <c r="E45" s="4"/>
    </row>
    <row r="46" spans="1:5" ht="16" customHeight="1" x14ac:dyDescent="0.2">
      <c r="A46" s="4"/>
      <c r="B46" s="4"/>
      <c r="C46" s="4"/>
      <c r="D46" s="4"/>
      <c r="E46" s="4"/>
    </row>
    <row r="47" spans="1:5" ht="16" customHeight="1" x14ac:dyDescent="0.2">
      <c r="A47" s="98" t="s">
        <v>0</v>
      </c>
      <c r="B47" s="98" t="s">
        <v>285</v>
      </c>
      <c r="C47" s="98" t="s">
        <v>286</v>
      </c>
      <c r="D47" s="98" t="s">
        <v>287</v>
      </c>
      <c r="E47" s="4"/>
    </row>
    <row r="48" spans="1:5" ht="16" customHeight="1" x14ac:dyDescent="0.2">
      <c r="A48" s="85" t="s">
        <v>104</v>
      </c>
      <c r="B48" s="75" t="s">
        <v>288</v>
      </c>
      <c r="C48" s="95">
        <v>46136</v>
      </c>
      <c r="D48" s="75" t="s">
        <v>289</v>
      </c>
      <c r="E48" s="4"/>
    </row>
    <row r="49" spans="1:5" ht="16" customHeight="1" x14ac:dyDescent="0.2">
      <c r="A49" s="85" t="s">
        <v>112</v>
      </c>
      <c r="B49" s="75" t="s">
        <v>290</v>
      </c>
      <c r="C49" s="95">
        <v>46143</v>
      </c>
      <c r="D49" s="75" t="s">
        <v>291</v>
      </c>
      <c r="E49" s="4"/>
    </row>
    <row r="50" spans="1:5" ht="16" customHeight="1" x14ac:dyDescent="0.2">
      <c r="A50" s="85" t="s">
        <v>128</v>
      </c>
      <c r="B50" s="75" t="s">
        <v>292</v>
      </c>
      <c r="C50" s="95">
        <v>46150</v>
      </c>
      <c r="D50" s="75" t="s">
        <v>293</v>
      </c>
      <c r="E50" s="4"/>
    </row>
    <row r="51" spans="1:5" ht="16" customHeight="1" x14ac:dyDescent="0.2">
      <c r="A51" s="85" t="s">
        <v>142</v>
      </c>
      <c r="B51" s="75" t="s">
        <v>294</v>
      </c>
      <c r="C51" s="95">
        <v>46164</v>
      </c>
      <c r="D51" s="75" t="s">
        <v>295</v>
      </c>
      <c r="E51" s="4"/>
    </row>
    <row r="52" spans="1:5" ht="30" customHeight="1" x14ac:dyDescent="0.2">
      <c r="A52" s="96" t="s">
        <v>152</v>
      </c>
      <c r="B52" s="96" t="s">
        <v>296</v>
      </c>
      <c r="C52" s="97">
        <v>46178</v>
      </c>
      <c r="D52" s="99" t="s">
        <v>297</v>
      </c>
      <c r="E52" s="4"/>
    </row>
    <row r="53" spans="1:5" ht="30" customHeight="1" x14ac:dyDescent="0.2">
      <c r="A53" s="96" t="s">
        <v>159</v>
      </c>
      <c r="B53" s="96" t="s">
        <v>298</v>
      </c>
      <c r="C53" s="97">
        <v>46206</v>
      </c>
      <c r="D53" s="99" t="s">
        <v>299</v>
      </c>
      <c r="E53" s="4"/>
    </row>
    <row r="54" spans="1:5" ht="16" customHeight="1" x14ac:dyDescent="0.2">
      <c r="A54" s="4"/>
      <c r="B54" s="4"/>
      <c r="C54" s="4"/>
      <c r="D54" s="4"/>
      <c r="E54" s="4"/>
    </row>
    <row r="55" spans="1:5" ht="18" customHeight="1" x14ac:dyDescent="0.2">
      <c r="A55" s="67" t="s">
        <v>300</v>
      </c>
      <c r="B55" s="4"/>
      <c r="C55" s="4"/>
      <c r="D55" s="4"/>
      <c r="E55" s="4"/>
    </row>
    <row r="56" spans="1:5" ht="16" customHeight="1" x14ac:dyDescent="0.2">
      <c r="A56" s="4"/>
      <c r="B56" s="4"/>
      <c r="C56" s="4"/>
      <c r="D56" s="4"/>
      <c r="E56" s="4"/>
    </row>
    <row r="57" spans="1:5" ht="16" customHeight="1" x14ac:dyDescent="0.2">
      <c r="A57" s="101" t="s">
        <v>301</v>
      </c>
      <c r="B57" s="100" t="s">
        <v>302</v>
      </c>
      <c r="C57" s="100" t="s">
        <v>303</v>
      </c>
      <c r="D57" s="4"/>
      <c r="E57" s="4"/>
    </row>
    <row r="58" spans="1:5" ht="30" customHeight="1" x14ac:dyDescent="0.2">
      <c r="A58" s="102">
        <v>1</v>
      </c>
      <c r="B58" s="74" t="s">
        <v>304</v>
      </c>
      <c r="C58" s="75" t="s">
        <v>305</v>
      </c>
      <c r="D58" s="4"/>
      <c r="E58" s="4"/>
    </row>
    <row r="59" spans="1:5" ht="30" customHeight="1" x14ac:dyDescent="0.2">
      <c r="A59" s="102">
        <v>2</v>
      </c>
      <c r="B59" s="74" t="s">
        <v>306</v>
      </c>
      <c r="C59" s="75" t="s">
        <v>307</v>
      </c>
      <c r="D59" s="4"/>
      <c r="E59" s="4"/>
    </row>
    <row r="60" spans="1:5" ht="30" customHeight="1" x14ac:dyDescent="0.2">
      <c r="A60" s="102">
        <v>3</v>
      </c>
      <c r="B60" s="74" t="s">
        <v>308</v>
      </c>
      <c r="C60" s="75" t="s">
        <v>309</v>
      </c>
      <c r="D60" s="4"/>
      <c r="E60" s="4"/>
    </row>
    <row r="61" spans="1:5" ht="30" customHeight="1" x14ac:dyDescent="0.2">
      <c r="A61" s="102">
        <v>4</v>
      </c>
      <c r="B61" s="74" t="s">
        <v>310</v>
      </c>
      <c r="C61" s="75" t="s">
        <v>311</v>
      </c>
      <c r="D61" s="4"/>
      <c r="E61" s="4"/>
    </row>
    <row r="62" spans="1:5" ht="30" customHeight="1" x14ac:dyDescent="0.2">
      <c r="A62" s="102">
        <v>5</v>
      </c>
      <c r="B62" s="74" t="s">
        <v>312</v>
      </c>
      <c r="C62" s="75" t="s">
        <v>313</v>
      </c>
      <c r="D62" s="4"/>
      <c r="E62" s="4"/>
    </row>
    <row r="63" spans="1:5" ht="16" customHeight="1" x14ac:dyDescent="0.2">
      <c r="A63" s="4"/>
      <c r="B63" s="4"/>
      <c r="C63" s="4"/>
      <c r="D63" s="4"/>
      <c r="E63" s="4"/>
    </row>
    <row r="64" spans="1:5" ht="18" customHeight="1" x14ac:dyDescent="0.2">
      <c r="A64" s="67" t="s">
        <v>314</v>
      </c>
      <c r="B64" s="4"/>
      <c r="C64" s="4"/>
      <c r="D64" s="4"/>
      <c r="E64" s="4"/>
    </row>
    <row r="65" spans="1:5" ht="16" customHeight="1" x14ac:dyDescent="0.2">
      <c r="A65" s="4"/>
      <c r="B65" s="4"/>
      <c r="C65" s="4"/>
      <c r="D65" s="4"/>
      <c r="E65" s="4"/>
    </row>
    <row r="66" spans="1:5" ht="32" customHeight="1" x14ac:dyDescent="0.2">
      <c r="A66" s="71" t="s">
        <v>315</v>
      </c>
      <c r="B66" s="72" t="s">
        <v>316</v>
      </c>
      <c r="C66" s="4"/>
      <c r="D66" s="4"/>
      <c r="E66" s="4"/>
    </row>
    <row r="67" spans="1:5" ht="32" customHeight="1" x14ac:dyDescent="0.2">
      <c r="A67" s="71" t="s">
        <v>315</v>
      </c>
      <c r="B67" s="72" t="s">
        <v>317</v>
      </c>
      <c r="C67" s="4"/>
      <c r="D67" s="4"/>
      <c r="E67" s="4"/>
    </row>
    <row r="68" spans="1:5" ht="32" customHeight="1" x14ac:dyDescent="0.2">
      <c r="A68" s="71" t="s">
        <v>315</v>
      </c>
      <c r="B68" s="72" t="s">
        <v>346</v>
      </c>
      <c r="C68" s="4"/>
      <c r="D68" s="4"/>
      <c r="E68" s="4"/>
    </row>
    <row r="69" spans="1:5" ht="48" customHeight="1" x14ac:dyDescent="0.2">
      <c r="A69" s="71" t="s">
        <v>315</v>
      </c>
      <c r="B69" s="72" t="s">
        <v>318</v>
      </c>
      <c r="C69" s="4"/>
      <c r="D69" s="4"/>
      <c r="E69" s="4"/>
    </row>
    <row r="70" spans="1:5" ht="16" customHeight="1" x14ac:dyDescent="0.2">
      <c r="A70" s="4"/>
      <c r="B70" s="4"/>
      <c r="C70" s="4"/>
      <c r="D70" s="4"/>
      <c r="E70" s="4"/>
    </row>
    <row r="71" spans="1:5" ht="18" customHeight="1" x14ac:dyDescent="0.2">
      <c r="A71" s="136" t="s">
        <v>347</v>
      </c>
      <c r="B71" s="4"/>
      <c r="C71" s="4"/>
      <c r="D71" s="4"/>
      <c r="E71" s="4"/>
    </row>
    <row r="72" spans="1:5" ht="16" customHeight="1" x14ac:dyDescent="0.2">
      <c r="A72" s="137" t="s">
        <v>348</v>
      </c>
      <c r="B72" s="4"/>
      <c r="C72" s="4"/>
      <c r="D72" s="4"/>
      <c r="E72" s="4"/>
    </row>
    <row r="73" spans="1:5" ht="16" customHeight="1" x14ac:dyDescent="0.2">
      <c r="A73" s="73" t="s">
        <v>8</v>
      </c>
      <c r="B73" s="73" t="s">
        <v>251</v>
      </c>
      <c r="C73" s="73" t="s">
        <v>320</v>
      </c>
      <c r="D73" s="4"/>
      <c r="E73" s="4"/>
    </row>
    <row r="74" spans="1:5" ht="16" customHeight="1" x14ac:dyDescent="0.2">
      <c r="A74" s="138" t="s">
        <v>319</v>
      </c>
      <c r="B74" s="75" t="s">
        <v>321</v>
      </c>
      <c r="C74" s="75" t="s">
        <v>322</v>
      </c>
      <c r="D74" s="4"/>
      <c r="E74" s="4"/>
    </row>
    <row r="75" spans="1:5" ht="16" customHeight="1" x14ac:dyDescent="0.2">
      <c r="A75" s="107" t="s">
        <v>323</v>
      </c>
      <c r="B75" s="103" t="s">
        <v>324</v>
      </c>
      <c r="C75" s="75" t="s">
        <v>325</v>
      </c>
      <c r="D75" s="4"/>
      <c r="E75" s="4"/>
    </row>
    <row r="76" spans="1:5" ht="16" customHeight="1" x14ac:dyDescent="0.2">
      <c r="A76" s="108" t="s">
        <v>326</v>
      </c>
      <c r="B76" s="104" t="s">
        <v>327</v>
      </c>
      <c r="C76" s="75" t="s">
        <v>328</v>
      </c>
      <c r="D76" s="4"/>
      <c r="E76" s="4"/>
    </row>
    <row r="77" spans="1:5" ht="16" customHeight="1" x14ac:dyDescent="0.2">
      <c r="A77" s="109" t="s">
        <v>329</v>
      </c>
      <c r="B77" s="105" t="s">
        <v>330</v>
      </c>
      <c r="C77" s="75" t="s">
        <v>331</v>
      </c>
      <c r="D77" s="4"/>
      <c r="E77" s="4"/>
    </row>
    <row r="78" spans="1:5" ht="16" customHeight="1" x14ac:dyDescent="0.2">
      <c r="A78" s="110" t="s">
        <v>332</v>
      </c>
      <c r="B78" s="106" t="s">
        <v>333</v>
      </c>
      <c r="C78" s="75" t="s">
        <v>334</v>
      </c>
      <c r="D78" s="4"/>
      <c r="E78" s="4"/>
    </row>
  </sheetData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9F9F54-BEB7-3F4F-B6C5-ED3AA3CD825A}">
  <dimension ref="A1:L61"/>
  <sheetViews>
    <sheetView tabSelected="1" zoomScale="115" workbookViewId="0">
      <pane ySplit="1" topLeftCell="A4" activePane="bottomLeft" state="frozen"/>
      <selection activeCell="D1" sqref="D1"/>
      <selection pane="bottomLeft" activeCell="F4" sqref="F4"/>
    </sheetView>
  </sheetViews>
  <sheetFormatPr baseColWidth="10" defaultColWidth="23.6640625" defaultRowHeight="16" outlineLevelRow="2" x14ac:dyDescent="0.2"/>
  <cols>
    <col min="1" max="1" width="11.6640625" customWidth="1"/>
    <col min="2" max="2" width="30" customWidth="1"/>
    <col min="3" max="3" width="21.6640625" customWidth="1"/>
    <col min="4" max="4" width="20" customWidth="1"/>
    <col min="5" max="5" width="61.6640625" customWidth="1"/>
    <col min="6" max="6" width="16.6640625" customWidth="1"/>
    <col min="7" max="8" width="15" customWidth="1"/>
    <col min="9" max="9" width="38.5" customWidth="1"/>
    <col min="10" max="10" width="14.1640625" customWidth="1"/>
    <col min="11" max="11" width="21.6640625" customWidth="1"/>
    <col min="12" max="12" width="46.6640625" customWidth="1"/>
  </cols>
  <sheetData>
    <row r="1" spans="1:12" ht="28" customHeight="1" x14ac:dyDescent="0.2">
      <c r="A1" s="47" t="s">
        <v>0</v>
      </c>
      <c r="B1" s="47" t="s">
        <v>1</v>
      </c>
      <c r="C1" s="47" t="s">
        <v>2</v>
      </c>
      <c r="D1" s="47" t="s">
        <v>93</v>
      </c>
      <c r="E1" s="48" t="s">
        <v>3</v>
      </c>
      <c r="F1" s="47" t="s">
        <v>4</v>
      </c>
      <c r="G1" s="47" t="s">
        <v>5</v>
      </c>
      <c r="H1" s="47" t="s">
        <v>6</v>
      </c>
      <c r="I1" s="47" t="s">
        <v>94</v>
      </c>
      <c r="J1" s="47" t="s">
        <v>8</v>
      </c>
      <c r="K1" s="47" t="s">
        <v>9</v>
      </c>
      <c r="L1" s="48" t="s">
        <v>95</v>
      </c>
    </row>
    <row r="2" spans="1:12" ht="17" thickBot="1" x14ac:dyDescent="0.25">
      <c r="A2" s="49">
        <v>1</v>
      </c>
      <c r="B2" s="49" t="s">
        <v>10</v>
      </c>
      <c r="C2" s="49"/>
      <c r="D2" s="49"/>
      <c r="E2" s="50"/>
      <c r="F2" s="49"/>
      <c r="G2" s="55"/>
      <c r="H2" s="55"/>
      <c r="I2" s="51"/>
      <c r="J2" s="49"/>
      <c r="K2" s="49"/>
      <c r="L2" s="50"/>
    </row>
    <row r="3" spans="1:12" outlineLevel="1" x14ac:dyDescent="0.2">
      <c r="A3" s="112">
        <v>1.1000000000000001</v>
      </c>
      <c r="B3" s="32" t="s">
        <v>11</v>
      </c>
      <c r="C3" s="32" t="s">
        <v>96</v>
      </c>
      <c r="D3" s="32" t="s">
        <v>97</v>
      </c>
      <c r="E3" s="111" t="s">
        <v>12</v>
      </c>
      <c r="F3" s="32"/>
      <c r="G3" s="34">
        <v>46125</v>
      </c>
      <c r="H3" s="34">
        <v>46136</v>
      </c>
      <c r="I3" s="35">
        <f>NETWORKDAYS(G3,H3)</f>
        <v>10</v>
      </c>
      <c r="J3" s="32"/>
      <c r="K3" s="32" t="s">
        <v>14</v>
      </c>
      <c r="L3" s="33"/>
    </row>
    <row r="4" spans="1:12" ht="17" outlineLevel="2" x14ac:dyDescent="0.2">
      <c r="A4" s="114" t="s">
        <v>15</v>
      </c>
      <c r="B4" s="5" t="s">
        <v>11</v>
      </c>
      <c r="C4" s="5" t="s">
        <v>16</v>
      </c>
      <c r="D4" s="5" t="s">
        <v>98</v>
      </c>
      <c r="E4" s="113" t="s">
        <v>17</v>
      </c>
      <c r="F4" s="5" t="s">
        <v>335</v>
      </c>
      <c r="G4" s="7">
        <v>46125</v>
      </c>
      <c r="H4" s="7">
        <v>46126</v>
      </c>
      <c r="I4" s="8">
        <f>NETWORKDAYS(G4,H4)</f>
        <v>2</v>
      </c>
      <c r="J4" s="5" t="s">
        <v>13</v>
      </c>
      <c r="K4" s="5" t="s">
        <v>14</v>
      </c>
      <c r="L4" s="6"/>
    </row>
    <row r="5" spans="1:12" ht="17" outlineLevel="2" x14ac:dyDescent="0.2">
      <c r="A5" s="114" t="s">
        <v>18</v>
      </c>
      <c r="B5" s="5" t="s">
        <v>11</v>
      </c>
      <c r="C5" s="5" t="s">
        <v>16</v>
      </c>
      <c r="D5" s="5" t="s">
        <v>98</v>
      </c>
      <c r="E5" s="113" t="s">
        <v>19</v>
      </c>
      <c r="F5" s="5" t="s">
        <v>335</v>
      </c>
      <c r="G5" s="7">
        <v>46125</v>
      </c>
      <c r="H5" s="7">
        <v>46127</v>
      </c>
      <c r="I5" s="8">
        <f>NETWORKDAYS(G5,H5)</f>
        <v>3</v>
      </c>
      <c r="J5" s="5" t="s">
        <v>13</v>
      </c>
      <c r="K5" s="5" t="s">
        <v>14</v>
      </c>
      <c r="L5" s="6"/>
    </row>
    <row r="6" spans="1:12" ht="17" outlineLevel="2" x14ac:dyDescent="0.2">
      <c r="A6" s="114" t="s">
        <v>20</v>
      </c>
      <c r="B6" s="5" t="s">
        <v>11</v>
      </c>
      <c r="C6" s="5" t="s">
        <v>16</v>
      </c>
      <c r="D6" s="5" t="s">
        <v>98</v>
      </c>
      <c r="E6" s="113" t="s">
        <v>336</v>
      </c>
      <c r="F6" s="5" t="s">
        <v>23</v>
      </c>
      <c r="G6" s="7">
        <v>46125</v>
      </c>
      <c r="H6" s="7">
        <v>46129</v>
      </c>
      <c r="I6" s="8">
        <f>NETWORKDAYS(G6,H6)</f>
        <v>5</v>
      </c>
      <c r="J6" s="5" t="s">
        <v>13</v>
      </c>
      <c r="K6" s="5" t="s">
        <v>14</v>
      </c>
      <c r="L6" s="6" t="s">
        <v>337</v>
      </c>
    </row>
    <row r="7" spans="1:12" ht="17" outlineLevel="2" x14ac:dyDescent="0.2">
      <c r="A7" s="114" t="s">
        <v>21</v>
      </c>
      <c r="B7" s="5" t="s">
        <v>11</v>
      </c>
      <c r="C7" s="5" t="s">
        <v>16</v>
      </c>
      <c r="D7" s="5" t="s">
        <v>98</v>
      </c>
      <c r="E7" s="113" t="s">
        <v>22</v>
      </c>
      <c r="F7" s="5" t="s">
        <v>338</v>
      </c>
      <c r="G7" s="7">
        <v>46127</v>
      </c>
      <c r="H7" s="7">
        <v>46134</v>
      </c>
      <c r="I7" s="8">
        <f>NETWORKDAYS(G7,H7)</f>
        <v>6</v>
      </c>
      <c r="J7" s="5" t="s">
        <v>13</v>
      </c>
      <c r="K7" s="5" t="s">
        <v>24</v>
      </c>
      <c r="L7" s="6"/>
    </row>
    <row r="8" spans="1:12" ht="17" outlineLevel="2" x14ac:dyDescent="0.2">
      <c r="A8" s="114" t="s">
        <v>25</v>
      </c>
      <c r="B8" s="5" t="s">
        <v>11</v>
      </c>
      <c r="C8" s="5" t="s">
        <v>16</v>
      </c>
      <c r="D8" s="5" t="s">
        <v>98</v>
      </c>
      <c r="E8" s="113" t="s">
        <v>26</v>
      </c>
      <c r="F8" s="5" t="s">
        <v>338</v>
      </c>
      <c r="G8" s="7">
        <v>46129</v>
      </c>
      <c r="H8" s="7">
        <v>46136</v>
      </c>
      <c r="I8" s="8">
        <f>NETWORKDAYS(G8,H8)</f>
        <v>6</v>
      </c>
      <c r="J8" s="5" t="s">
        <v>13</v>
      </c>
      <c r="K8" s="5" t="s">
        <v>20</v>
      </c>
      <c r="L8" s="6"/>
    </row>
    <row r="9" spans="1:12" ht="17" outlineLevel="2" x14ac:dyDescent="0.2">
      <c r="A9" s="116" t="s">
        <v>99</v>
      </c>
      <c r="B9" s="9" t="s">
        <v>11</v>
      </c>
      <c r="C9" s="9" t="s">
        <v>16</v>
      </c>
      <c r="D9" s="9" t="s">
        <v>339</v>
      </c>
      <c r="E9" s="115" t="s">
        <v>28</v>
      </c>
      <c r="F9" s="9" t="s">
        <v>338</v>
      </c>
      <c r="G9" s="11">
        <v>46134</v>
      </c>
      <c r="H9" s="11">
        <v>46136</v>
      </c>
      <c r="I9" s="12">
        <f>NETWORKDAYS(G9,H9)</f>
        <v>3</v>
      </c>
      <c r="J9" s="9" t="s">
        <v>13</v>
      </c>
      <c r="K9" s="9" t="s">
        <v>21</v>
      </c>
      <c r="L9" s="10" t="s">
        <v>340</v>
      </c>
    </row>
    <row r="10" spans="1:12" ht="17" outlineLevel="2" x14ac:dyDescent="0.2">
      <c r="A10" s="116" t="s">
        <v>100</v>
      </c>
      <c r="B10" s="9" t="s">
        <v>11</v>
      </c>
      <c r="C10" s="9" t="s">
        <v>16</v>
      </c>
      <c r="D10" s="9" t="s">
        <v>339</v>
      </c>
      <c r="E10" s="115" t="s">
        <v>101</v>
      </c>
      <c r="F10" s="9" t="s">
        <v>23</v>
      </c>
      <c r="G10" s="11">
        <v>46125</v>
      </c>
      <c r="H10" s="11">
        <v>46129</v>
      </c>
      <c r="I10" s="12">
        <f>NETWORKDAYS(G10,H10)</f>
        <v>5</v>
      </c>
      <c r="J10" s="9" t="s">
        <v>13</v>
      </c>
      <c r="K10" s="9" t="s">
        <v>14</v>
      </c>
      <c r="L10" s="10" t="s">
        <v>29</v>
      </c>
    </row>
    <row r="11" spans="1:12" ht="17" outlineLevel="2" x14ac:dyDescent="0.2">
      <c r="A11" s="118" t="s">
        <v>102</v>
      </c>
      <c r="B11" s="28" t="s">
        <v>11</v>
      </c>
      <c r="C11" s="28" t="s">
        <v>16</v>
      </c>
      <c r="D11" s="28" t="s">
        <v>341</v>
      </c>
      <c r="E11" s="117" t="s">
        <v>103</v>
      </c>
      <c r="F11" s="28" t="s">
        <v>23</v>
      </c>
      <c r="G11" s="30">
        <v>46125</v>
      </c>
      <c r="H11" s="30">
        <v>46129</v>
      </c>
      <c r="I11" s="31">
        <f>NETWORKDAYS(G11,H11)</f>
        <v>5</v>
      </c>
      <c r="J11" s="28" t="s">
        <v>13</v>
      </c>
      <c r="K11" s="28" t="s">
        <v>14</v>
      </c>
      <c r="L11" s="29"/>
    </row>
    <row r="12" spans="1:12" ht="18" outlineLevel="2" thickBot="1" x14ac:dyDescent="0.25">
      <c r="A12" s="120" t="s">
        <v>104</v>
      </c>
      <c r="B12" s="36" t="s">
        <v>11</v>
      </c>
      <c r="C12" s="36" t="s">
        <v>16</v>
      </c>
      <c r="D12" s="36" t="s">
        <v>105</v>
      </c>
      <c r="E12" s="119" t="s">
        <v>106</v>
      </c>
      <c r="F12" s="36"/>
      <c r="G12" s="38">
        <v>46136</v>
      </c>
      <c r="H12" s="38">
        <v>46136</v>
      </c>
      <c r="I12" s="39">
        <f>NETWORKDAYS(G12,H12)</f>
        <v>1</v>
      </c>
      <c r="J12" s="36" t="s">
        <v>13</v>
      </c>
      <c r="K12" s="36" t="s">
        <v>107</v>
      </c>
      <c r="L12" s="37" t="s">
        <v>108</v>
      </c>
    </row>
    <row r="13" spans="1:12" outlineLevel="1" x14ac:dyDescent="0.2">
      <c r="A13" s="112">
        <v>1.2</v>
      </c>
      <c r="B13" s="32" t="s">
        <v>11</v>
      </c>
      <c r="C13" s="32" t="s">
        <v>109</v>
      </c>
      <c r="D13" s="32" t="s">
        <v>97</v>
      </c>
      <c r="E13" s="111" t="s">
        <v>30</v>
      </c>
      <c r="F13" s="32"/>
      <c r="G13" s="34">
        <v>46139</v>
      </c>
      <c r="H13" s="34">
        <v>46143</v>
      </c>
      <c r="I13" s="35">
        <f>NETWORKDAYS(G13,H13)</f>
        <v>5</v>
      </c>
      <c r="J13" s="32"/>
      <c r="K13" s="32">
        <v>1.1000000000000001</v>
      </c>
      <c r="L13" s="33"/>
    </row>
    <row r="14" spans="1:12" ht="17" outlineLevel="2" x14ac:dyDescent="0.2">
      <c r="A14" s="114" t="s">
        <v>31</v>
      </c>
      <c r="B14" s="5" t="s">
        <v>11</v>
      </c>
      <c r="C14" s="5" t="s">
        <v>32</v>
      </c>
      <c r="D14" s="5" t="s">
        <v>98</v>
      </c>
      <c r="E14" s="113" t="s">
        <v>33</v>
      </c>
      <c r="F14" s="5" t="s">
        <v>338</v>
      </c>
      <c r="G14" s="7">
        <v>46139</v>
      </c>
      <c r="H14" s="7">
        <v>46141</v>
      </c>
      <c r="I14" s="8">
        <f>NETWORKDAYS(G14,H14)</f>
        <v>3</v>
      </c>
      <c r="J14" s="5" t="s">
        <v>13</v>
      </c>
      <c r="K14" s="5" t="s">
        <v>100</v>
      </c>
      <c r="L14" s="6"/>
    </row>
    <row r="15" spans="1:12" ht="17" outlineLevel="2" x14ac:dyDescent="0.2">
      <c r="A15" s="114" t="s">
        <v>34</v>
      </c>
      <c r="B15" s="5" t="s">
        <v>11</v>
      </c>
      <c r="C15" s="5" t="s">
        <v>32</v>
      </c>
      <c r="D15" s="5" t="s">
        <v>98</v>
      </c>
      <c r="E15" s="113" t="s">
        <v>35</v>
      </c>
      <c r="F15" s="5" t="s">
        <v>338</v>
      </c>
      <c r="G15" s="7">
        <v>46139</v>
      </c>
      <c r="H15" s="7">
        <v>46142</v>
      </c>
      <c r="I15" s="8">
        <f>NETWORKDAYS(G15,H15)</f>
        <v>4</v>
      </c>
      <c r="J15" s="5" t="s">
        <v>13</v>
      </c>
      <c r="K15" s="5" t="s">
        <v>25</v>
      </c>
      <c r="L15" s="6"/>
    </row>
    <row r="16" spans="1:12" ht="17" outlineLevel="2" x14ac:dyDescent="0.2">
      <c r="A16" s="114" t="s">
        <v>36</v>
      </c>
      <c r="B16" s="5" t="s">
        <v>11</v>
      </c>
      <c r="C16" s="5" t="s">
        <v>32</v>
      </c>
      <c r="D16" s="5" t="s">
        <v>98</v>
      </c>
      <c r="E16" s="113" t="s">
        <v>37</v>
      </c>
      <c r="F16" s="5" t="s">
        <v>338</v>
      </c>
      <c r="G16" s="7">
        <v>46141</v>
      </c>
      <c r="H16" s="7">
        <v>46143</v>
      </c>
      <c r="I16" s="8">
        <f>NETWORKDAYS(G16,H16)</f>
        <v>3</v>
      </c>
      <c r="J16" s="5" t="s">
        <v>13</v>
      </c>
      <c r="K16" s="5" t="s">
        <v>31</v>
      </c>
      <c r="L16" s="6" t="s">
        <v>110</v>
      </c>
    </row>
    <row r="17" spans="1:12" ht="17" outlineLevel="2" x14ac:dyDescent="0.2">
      <c r="A17" s="122" t="s">
        <v>38</v>
      </c>
      <c r="B17" s="17" t="s">
        <v>11</v>
      </c>
      <c r="C17" s="17" t="s">
        <v>32</v>
      </c>
      <c r="D17" s="17" t="s">
        <v>39</v>
      </c>
      <c r="E17" s="121" t="s">
        <v>40</v>
      </c>
      <c r="F17" s="17" t="s">
        <v>338</v>
      </c>
      <c r="G17" s="19">
        <v>46143</v>
      </c>
      <c r="H17" s="19">
        <v>46143</v>
      </c>
      <c r="I17" s="20">
        <f>NETWORKDAYS(G17,H17)</f>
        <v>1</v>
      </c>
      <c r="J17" s="17" t="s">
        <v>13</v>
      </c>
      <c r="K17" s="17" t="s">
        <v>31</v>
      </c>
      <c r="L17" s="18"/>
    </row>
    <row r="18" spans="1:12" ht="17" outlineLevel="2" x14ac:dyDescent="0.2">
      <c r="A18" s="124" t="s">
        <v>111</v>
      </c>
      <c r="B18" s="40" t="s">
        <v>11</v>
      </c>
      <c r="C18" s="40" t="s">
        <v>32</v>
      </c>
      <c r="D18" s="40" t="s">
        <v>39</v>
      </c>
      <c r="E18" s="123" t="s">
        <v>41</v>
      </c>
      <c r="F18" s="40" t="s">
        <v>338</v>
      </c>
      <c r="G18" s="42">
        <v>46143</v>
      </c>
      <c r="H18" s="42">
        <v>46143</v>
      </c>
      <c r="I18" s="43">
        <f>NETWORKDAYS(G18,H18)</f>
        <v>1</v>
      </c>
      <c r="J18" s="40" t="s">
        <v>13</v>
      </c>
      <c r="K18" s="40" t="s">
        <v>34</v>
      </c>
      <c r="L18" s="41"/>
    </row>
    <row r="19" spans="1:12" ht="18" outlineLevel="2" thickBot="1" x14ac:dyDescent="0.25">
      <c r="A19" s="120" t="s">
        <v>112</v>
      </c>
      <c r="B19" s="36" t="s">
        <v>11</v>
      </c>
      <c r="C19" s="36" t="s">
        <v>32</v>
      </c>
      <c r="D19" s="36" t="s">
        <v>105</v>
      </c>
      <c r="E19" s="119" t="s">
        <v>113</v>
      </c>
      <c r="F19" s="36"/>
      <c r="G19" s="38">
        <v>46143</v>
      </c>
      <c r="H19" s="38">
        <v>46143</v>
      </c>
      <c r="I19" s="39">
        <f>NETWORKDAYS(G19,H19)</f>
        <v>1</v>
      </c>
      <c r="J19" s="36" t="s">
        <v>13</v>
      </c>
      <c r="K19" s="36" t="s">
        <v>114</v>
      </c>
      <c r="L19" s="37" t="s">
        <v>115</v>
      </c>
    </row>
    <row r="20" spans="1:12" outlineLevel="1" x14ac:dyDescent="0.2">
      <c r="A20" s="112">
        <v>1.3</v>
      </c>
      <c r="B20" s="32" t="s">
        <v>11</v>
      </c>
      <c r="C20" s="32" t="s">
        <v>116</v>
      </c>
      <c r="D20" s="32" t="s">
        <v>97</v>
      </c>
      <c r="E20" s="111" t="s">
        <v>42</v>
      </c>
      <c r="F20" s="32"/>
      <c r="G20" s="34">
        <v>46146</v>
      </c>
      <c r="H20" s="34">
        <v>46150</v>
      </c>
      <c r="I20" s="35">
        <f>NETWORKDAYS(G20,H20)</f>
        <v>5</v>
      </c>
      <c r="J20" s="32"/>
      <c r="K20" s="32">
        <v>1.2</v>
      </c>
      <c r="L20" s="33"/>
    </row>
    <row r="21" spans="1:12" ht="17" outlineLevel="2" x14ac:dyDescent="0.2">
      <c r="A21" s="114" t="s">
        <v>43</v>
      </c>
      <c r="B21" s="5" t="s">
        <v>11</v>
      </c>
      <c r="C21" s="5" t="s">
        <v>44</v>
      </c>
      <c r="D21" s="5" t="s">
        <v>98</v>
      </c>
      <c r="E21" s="113" t="s">
        <v>45</v>
      </c>
      <c r="F21" s="5" t="s">
        <v>338</v>
      </c>
      <c r="G21" s="7">
        <v>46146</v>
      </c>
      <c r="H21" s="7">
        <v>46148</v>
      </c>
      <c r="I21" s="8">
        <f>NETWORKDAYS(G21,H21)</f>
        <v>3</v>
      </c>
      <c r="J21" s="5" t="s">
        <v>13</v>
      </c>
      <c r="K21" s="5" t="s">
        <v>34</v>
      </c>
      <c r="L21" s="6"/>
    </row>
    <row r="22" spans="1:12" ht="17" outlineLevel="2" x14ac:dyDescent="0.2">
      <c r="A22" s="114" t="s">
        <v>46</v>
      </c>
      <c r="B22" s="5" t="s">
        <v>11</v>
      </c>
      <c r="C22" s="5" t="s">
        <v>44</v>
      </c>
      <c r="D22" s="5" t="s">
        <v>98</v>
      </c>
      <c r="E22" s="113" t="s">
        <v>117</v>
      </c>
      <c r="F22" s="5" t="s">
        <v>342</v>
      </c>
      <c r="G22" s="7">
        <v>46146</v>
      </c>
      <c r="H22" s="7">
        <v>46150</v>
      </c>
      <c r="I22" s="8">
        <f>NETWORKDAYS(G22,H22)</f>
        <v>5</v>
      </c>
      <c r="J22" s="5" t="s">
        <v>13</v>
      </c>
      <c r="K22" s="5" t="s">
        <v>14</v>
      </c>
      <c r="L22" s="6" t="s">
        <v>118</v>
      </c>
    </row>
    <row r="23" spans="1:12" ht="17" outlineLevel="2" x14ac:dyDescent="0.2">
      <c r="A23" s="114" t="s">
        <v>47</v>
      </c>
      <c r="B23" s="5" t="s">
        <v>11</v>
      </c>
      <c r="C23" s="5" t="s">
        <v>44</v>
      </c>
      <c r="D23" s="5" t="s">
        <v>98</v>
      </c>
      <c r="E23" s="113" t="s">
        <v>48</v>
      </c>
      <c r="F23" s="5" t="s">
        <v>338</v>
      </c>
      <c r="G23" s="7">
        <v>46148</v>
      </c>
      <c r="H23" s="7">
        <v>46149</v>
      </c>
      <c r="I23" s="8">
        <f>NETWORKDAYS(G23,H23)</f>
        <v>2</v>
      </c>
      <c r="J23" s="5" t="s">
        <v>13</v>
      </c>
      <c r="K23" s="5" t="s">
        <v>43</v>
      </c>
      <c r="L23" s="6"/>
    </row>
    <row r="24" spans="1:12" ht="17" outlineLevel="2" x14ac:dyDescent="0.2">
      <c r="A24" s="114" t="s">
        <v>49</v>
      </c>
      <c r="B24" s="5" t="s">
        <v>11</v>
      </c>
      <c r="C24" s="5" t="s">
        <v>44</v>
      </c>
      <c r="D24" s="5" t="s">
        <v>98</v>
      </c>
      <c r="E24" s="113" t="s">
        <v>50</v>
      </c>
      <c r="F24" s="5" t="s">
        <v>338</v>
      </c>
      <c r="G24" s="7">
        <v>46147</v>
      </c>
      <c r="H24" s="7">
        <v>46150</v>
      </c>
      <c r="I24" s="8">
        <f>NETWORKDAYS(G24,H24)</f>
        <v>4</v>
      </c>
      <c r="J24" s="5" t="s">
        <v>13</v>
      </c>
      <c r="K24" s="5" t="s">
        <v>43</v>
      </c>
      <c r="L24" s="6"/>
    </row>
    <row r="25" spans="1:12" ht="17" outlineLevel="2" x14ac:dyDescent="0.2">
      <c r="A25" s="126" t="s">
        <v>119</v>
      </c>
      <c r="B25" s="13" t="s">
        <v>11</v>
      </c>
      <c r="C25" s="13" t="s">
        <v>44</v>
      </c>
      <c r="D25" s="13" t="s">
        <v>341</v>
      </c>
      <c r="E25" s="125" t="s">
        <v>120</v>
      </c>
      <c r="F25" s="13" t="s">
        <v>23</v>
      </c>
      <c r="G25" s="15">
        <v>46149</v>
      </c>
      <c r="H25" s="15">
        <v>46150</v>
      </c>
      <c r="I25" s="16">
        <f>NETWORKDAYS(G25,H25)</f>
        <v>2</v>
      </c>
      <c r="J25" s="13" t="s">
        <v>13</v>
      </c>
      <c r="K25" s="13" t="s">
        <v>43</v>
      </c>
      <c r="L25" s="14"/>
    </row>
    <row r="26" spans="1:12" ht="17" outlineLevel="2" x14ac:dyDescent="0.2">
      <c r="A26" s="126" t="s">
        <v>121</v>
      </c>
      <c r="B26" s="13" t="s">
        <v>11</v>
      </c>
      <c r="C26" s="13" t="s">
        <v>44</v>
      </c>
      <c r="D26" s="13" t="s">
        <v>341</v>
      </c>
      <c r="E26" s="125" t="s">
        <v>122</v>
      </c>
      <c r="F26" s="13" t="s">
        <v>23</v>
      </c>
      <c r="G26" s="15">
        <v>46149</v>
      </c>
      <c r="H26" s="15">
        <v>46150</v>
      </c>
      <c r="I26" s="16">
        <f>NETWORKDAYS(G26,H26)</f>
        <v>2</v>
      </c>
      <c r="J26" s="13" t="s">
        <v>13</v>
      </c>
      <c r="K26" s="13" t="s">
        <v>49</v>
      </c>
      <c r="L26" s="14"/>
    </row>
    <row r="27" spans="1:12" ht="17" outlineLevel="2" x14ac:dyDescent="0.2">
      <c r="A27" s="122" t="s">
        <v>51</v>
      </c>
      <c r="B27" s="17" t="s">
        <v>11</v>
      </c>
      <c r="C27" s="17" t="s">
        <v>44</v>
      </c>
      <c r="D27" s="17" t="s">
        <v>39</v>
      </c>
      <c r="E27" s="121" t="s">
        <v>52</v>
      </c>
      <c r="F27" s="17" t="s">
        <v>338</v>
      </c>
      <c r="G27" s="19">
        <v>46150</v>
      </c>
      <c r="H27" s="19">
        <v>46150</v>
      </c>
      <c r="I27" s="20">
        <f>NETWORKDAYS(G27,H27)</f>
        <v>1</v>
      </c>
      <c r="J27" s="17" t="s">
        <v>13</v>
      </c>
      <c r="K27" s="17" t="s">
        <v>46</v>
      </c>
      <c r="L27" s="18"/>
    </row>
    <row r="28" spans="1:12" ht="17" outlineLevel="2" x14ac:dyDescent="0.2">
      <c r="A28" s="122" t="s">
        <v>53</v>
      </c>
      <c r="B28" s="17" t="s">
        <v>11</v>
      </c>
      <c r="C28" s="17" t="s">
        <v>44</v>
      </c>
      <c r="D28" s="17" t="s">
        <v>39</v>
      </c>
      <c r="E28" s="121" t="s">
        <v>54</v>
      </c>
      <c r="F28" s="17" t="s">
        <v>338</v>
      </c>
      <c r="G28" s="19">
        <v>46150</v>
      </c>
      <c r="H28" s="19">
        <v>46150</v>
      </c>
      <c r="I28" s="20">
        <f>NETWORKDAYS(G28,H28)</f>
        <v>1</v>
      </c>
      <c r="J28" s="17" t="s">
        <v>13</v>
      </c>
      <c r="K28" s="17" t="s">
        <v>49</v>
      </c>
      <c r="L28" s="18"/>
    </row>
    <row r="29" spans="1:12" ht="17" outlineLevel="2" x14ac:dyDescent="0.2">
      <c r="A29" s="128" t="s">
        <v>123</v>
      </c>
      <c r="B29" s="21" t="s">
        <v>11</v>
      </c>
      <c r="C29" s="21" t="s">
        <v>44</v>
      </c>
      <c r="D29" s="21" t="s">
        <v>124</v>
      </c>
      <c r="E29" s="127" t="s">
        <v>125</v>
      </c>
      <c r="F29" s="21"/>
      <c r="G29" s="56"/>
      <c r="H29" s="56"/>
      <c r="I29" s="23"/>
      <c r="J29" s="21"/>
      <c r="K29" s="21"/>
      <c r="L29" s="22"/>
    </row>
    <row r="30" spans="1:12" ht="17" outlineLevel="2" x14ac:dyDescent="0.2">
      <c r="A30" s="130" t="s">
        <v>55</v>
      </c>
      <c r="B30" s="44" t="s">
        <v>11</v>
      </c>
      <c r="C30" s="44" t="s">
        <v>44</v>
      </c>
      <c r="D30" s="44" t="s">
        <v>126</v>
      </c>
      <c r="E30" s="129" t="s">
        <v>127</v>
      </c>
      <c r="F30" s="44"/>
      <c r="G30" s="57"/>
      <c r="H30" s="57"/>
      <c r="I30" s="46"/>
      <c r="J30" s="44"/>
      <c r="K30" s="44"/>
      <c r="L30" s="45"/>
    </row>
    <row r="31" spans="1:12" ht="18" outlineLevel="2" thickBot="1" x14ac:dyDescent="0.25">
      <c r="A31" s="120" t="s">
        <v>128</v>
      </c>
      <c r="B31" s="36" t="s">
        <v>11</v>
      </c>
      <c r="C31" s="36" t="s">
        <v>44</v>
      </c>
      <c r="D31" s="36" t="s">
        <v>105</v>
      </c>
      <c r="E31" s="119" t="s">
        <v>129</v>
      </c>
      <c r="F31" s="36"/>
      <c r="G31" s="38">
        <v>46150</v>
      </c>
      <c r="H31" s="38">
        <v>46150</v>
      </c>
      <c r="I31" s="39">
        <f>NETWORKDAYS(G31,H31)</f>
        <v>1</v>
      </c>
      <c r="J31" s="36" t="s">
        <v>13</v>
      </c>
      <c r="K31" s="36" t="s">
        <v>130</v>
      </c>
      <c r="L31" s="37" t="s">
        <v>131</v>
      </c>
    </row>
    <row r="32" spans="1:12" outlineLevel="1" x14ac:dyDescent="0.2">
      <c r="A32" s="112">
        <v>1.4</v>
      </c>
      <c r="B32" s="32" t="s">
        <v>11</v>
      </c>
      <c r="C32" s="32" t="s">
        <v>132</v>
      </c>
      <c r="D32" s="32" t="s">
        <v>97</v>
      </c>
      <c r="E32" s="111" t="s">
        <v>57</v>
      </c>
      <c r="F32" s="32"/>
      <c r="G32" s="34">
        <v>46153</v>
      </c>
      <c r="H32" s="34">
        <v>46164</v>
      </c>
      <c r="I32" s="35">
        <f>NETWORKDAYS(G32,H32)</f>
        <v>10</v>
      </c>
      <c r="J32" s="32"/>
      <c r="K32" s="32">
        <v>1.3</v>
      </c>
      <c r="L32" s="33"/>
    </row>
    <row r="33" spans="1:12" ht="17" outlineLevel="2" x14ac:dyDescent="0.2">
      <c r="A33" s="114" t="s">
        <v>58</v>
      </c>
      <c r="B33" s="5" t="s">
        <v>11</v>
      </c>
      <c r="C33" s="5" t="s">
        <v>59</v>
      </c>
      <c r="D33" s="5" t="s">
        <v>98</v>
      </c>
      <c r="E33" s="113" t="s">
        <v>60</v>
      </c>
      <c r="F33" s="5" t="s">
        <v>342</v>
      </c>
      <c r="G33" s="7">
        <v>46153</v>
      </c>
      <c r="H33" s="7">
        <v>46157</v>
      </c>
      <c r="I33" s="8">
        <f>NETWORKDAYS(G33,H33)</f>
        <v>5</v>
      </c>
      <c r="J33" s="5" t="s">
        <v>13</v>
      </c>
      <c r="K33" s="5" t="s">
        <v>46</v>
      </c>
      <c r="L33" s="6"/>
    </row>
    <row r="34" spans="1:12" ht="17" outlineLevel="2" x14ac:dyDescent="0.2">
      <c r="A34" s="114" t="s">
        <v>61</v>
      </c>
      <c r="B34" s="5" t="s">
        <v>11</v>
      </c>
      <c r="C34" s="5" t="s">
        <v>59</v>
      </c>
      <c r="D34" s="5" t="s">
        <v>98</v>
      </c>
      <c r="E34" s="113" t="s">
        <v>62</v>
      </c>
      <c r="F34" s="5" t="s">
        <v>338</v>
      </c>
      <c r="G34" s="7">
        <v>46155</v>
      </c>
      <c r="H34" s="7">
        <v>46162</v>
      </c>
      <c r="I34" s="8">
        <f>NETWORKDAYS(G34,H34)</f>
        <v>6</v>
      </c>
      <c r="J34" s="5" t="s">
        <v>13</v>
      </c>
      <c r="K34" s="5" t="s">
        <v>63</v>
      </c>
      <c r="L34" s="6"/>
    </row>
    <row r="35" spans="1:12" ht="17" outlineLevel="2" x14ac:dyDescent="0.2">
      <c r="A35" s="114" t="s">
        <v>64</v>
      </c>
      <c r="B35" s="5" t="s">
        <v>11</v>
      </c>
      <c r="C35" s="5" t="s">
        <v>59</v>
      </c>
      <c r="D35" s="5" t="s">
        <v>98</v>
      </c>
      <c r="E35" s="113" t="s">
        <v>65</v>
      </c>
      <c r="F35" s="5" t="s">
        <v>342</v>
      </c>
      <c r="G35" s="7">
        <v>46162</v>
      </c>
      <c r="H35" s="7">
        <v>46164</v>
      </c>
      <c r="I35" s="8">
        <f>NETWORKDAYS(G35,H35)</f>
        <v>3</v>
      </c>
      <c r="J35" s="5" t="s">
        <v>13</v>
      </c>
      <c r="K35" s="5" t="s">
        <v>61</v>
      </c>
      <c r="L35" s="6"/>
    </row>
    <row r="36" spans="1:12" ht="17" outlineLevel="2" x14ac:dyDescent="0.2">
      <c r="A36" s="126" t="s">
        <v>133</v>
      </c>
      <c r="B36" s="13" t="s">
        <v>11</v>
      </c>
      <c r="C36" s="13" t="s">
        <v>59</v>
      </c>
      <c r="D36" s="13" t="s">
        <v>341</v>
      </c>
      <c r="E36" s="125" t="s">
        <v>134</v>
      </c>
      <c r="F36" s="13" t="s">
        <v>23</v>
      </c>
      <c r="G36" s="15">
        <v>46160</v>
      </c>
      <c r="H36" s="15">
        <v>46164</v>
      </c>
      <c r="I36" s="16">
        <f>NETWORKDAYS(G36,H36)</f>
        <v>5</v>
      </c>
      <c r="J36" s="13" t="s">
        <v>13</v>
      </c>
      <c r="K36" s="13" t="s">
        <v>61</v>
      </c>
      <c r="L36" s="14"/>
    </row>
    <row r="37" spans="1:12" ht="17" outlineLevel="2" x14ac:dyDescent="0.2">
      <c r="A37" s="126" t="s">
        <v>135</v>
      </c>
      <c r="B37" s="13" t="s">
        <v>11</v>
      </c>
      <c r="C37" s="13" t="s">
        <v>59</v>
      </c>
      <c r="D37" s="13" t="s">
        <v>341</v>
      </c>
      <c r="E37" s="125" t="s">
        <v>136</v>
      </c>
      <c r="F37" s="13" t="s">
        <v>23</v>
      </c>
      <c r="G37" s="15">
        <v>46162</v>
      </c>
      <c r="H37" s="15">
        <v>46164</v>
      </c>
      <c r="I37" s="16">
        <f>NETWORKDAYS(G37,H37)</f>
        <v>3</v>
      </c>
      <c r="J37" s="13" t="s">
        <v>13</v>
      </c>
      <c r="K37" s="13" t="s">
        <v>133</v>
      </c>
      <c r="L37" s="14"/>
    </row>
    <row r="38" spans="1:12" ht="17" outlineLevel="2" x14ac:dyDescent="0.2">
      <c r="A38" s="126" t="s">
        <v>137</v>
      </c>
      <c r="B38" s="13" t="s">
        <v>11</v>
      </c>
      <c r="C38" s="13" t="s">
        <v>59</v>
      </c>
      <c r="D38" s="13" t="s">
        <v>341</v>
      </c>
      <c r="E38" s="125" t="s">
        <v>138</v>
      </c>
      <c r="F38" s="13" t="s">
        <v>23</v>
      </c>
      <c r="G38" s="15">
        <v>46160</v>
      </c>
      <c r="H38" s="15">
        <v>46164</v>
      </c>
      <c r="I38" s="16">
        <f>NETWORKDAYS(G38,H38)</f>
        <v>5</v>
      </c>
      <c r="J38" s="13" t="s">
        <v>13</v>
      </c>
      <c r="K38" s="13" t="s">
        <v>58</v>
      </c>
      <c r="L38" s="14" t="s">
        <v>68</v>
      </c>
    </row>
    <row r="39" spans="1:12" ht="17" outlineLevel="2" x14ac:dyDescent="0.2">
      <c r="A39" s="122" t="s">
        <v>66</v>
      </c>
      <c r="B39" s="17" t="s">
        <v>11</v>
      </c>
      <c r="C39" s="17" t="s">
        <v>59</v>
      </c>
      <c r="D39" s="17" t="s">
        <v>39</v>
      </c>
      <c r="E39" s="121" t="s">
        <v>67</v>
      </c>
      <c r="F39" s="17" t="s">
        <v>338</v>
      </c>
      <c r="G39" s="19">
        <v>46164</v>
      </c>
      <c r="H39" s="19">
        <v>46164</v>
      </c>
      <c r="I39" s="20">
        <f>NETWORKDAYS(G39,H39)</f>
        <v>1</v>
      </c>
      <c r="J39" s="17" t="s">
        <v>13</v>
      </c>
      <c r="K39" s="17" t="s">
        <v>139</v>
      </c>
      <c r="L39" s="18"/>
    </row>
    <row r="40" spans="1:12" ht="17" outlineLevel="2" x14ac:dyDescent="0.2">
      <c r="A40" s="124" t="s">
        <v>140</v>
      </c>
      <c r="B40" s="40" t="s">
        <v>11</v>
      </c>
      <c r="C40" s="40" t="s">
        <v>59</v>
      </c>
      <c r="D40" s="40" t="s">
        <v>39</v>
      </c>
      <c r="E40" s="123" t="s">
        <v>141</v>
      </c>
      <c r="F40" s="40" t="s">
        <v>23</v>
      </c>
      <c r="G40" s="42">
        <v>46164</v>
      </c>
      <c r="H40" s="42">
        <v>46164</v>
      </c>
      <c r="I40" s="43">
        <f>NETWORKDAYS(G40,H40)</f>
        <v>1</v>
      </c>
      <c r="J40" s="40" t="s">
        <v>13</v>
      </c>
      <c r="K40" s="40" t="s">
        <v>137</v>
      </c>
      <c r="L40" s="41"/>
    </row>
    <row r="41" spans="1:12" ht="18" outlineLevel="2" thickBot="1" x14ac:dyDescent="0.25">
      <c r="A41" s="120" t="s">
        <v>142</v>
      </c>
      <c r="B41" s="36" t="s">
        <v>11</v>
      </c>
      <c r="C41" s="36" t="s">
        <v>59</v>
      </c>
      <c r="D41" s="36" t="s">
        <v>105</v>
      </c>
      <c r="E41" s="119" t="s">
        <v>143</v>
      </c>
      <c r="F41" s="36"/>
      <c r="G41" s="38">
        <v>46164</v>
      </c>
      <c r="H41" s="38">
        <v>46164</v>
      </c>
      <c r="I41" s="39">
        <f>NETWORKDAYS(G41,H41)</f>
        <v>1</v>
      </c>
      <c r="J41" s="36" t="s">
        <v>13</v>
      </c>
      <c r="K41" s="36" t="s">
        <v>144</v>
      </c>
      <c r="L41" s="37" t="s">
        <v>145</v>
      </c>
    </row>
    <row r="42" spans="1:12" outlineLevel="1" x14ac:dyDescent="0.2">
      <c r="A42" s="112">
        <v>1.5</v>
      </c>
      <c r="B42" s="32" t="s">
        <v>11</v>
      </c>
      <c r="C42" s="32" t="s">
        <v>146</v>
      </c>
      <c r="D42" s="32" t="s">
        <v>97</v>
      </c>
      <c r="E42" s="111" t="s">
        <v>69</v>
      </c>
      <c r="F42" s="32"/>
      <c r="G42" s="34">
        <v>46167</v>
      </c>
      <c r="H42" s="34">
        <v>46178</v>
      </c>
      <c r="I42" s="35">
        <f>NETWORKDAYS(G42,H42)</f>
        <v>10</v>
      </c>
      <c r="J42" s="32"/>
      <c r="K42" s="32">
        <v>1.4</v>
      </c>
      <c r="L42" s="33"/>
    </row>
    <row r="43" spans="1:12" ht="17" outlineLevel="2" x14ac:dyDescent="0.2">
      <c r="A43" s="114" t="s">
        <v>70</v>
      </c>
      <c r="B43" s="5" t="s">
        <v>11</v>
      </c>
      <c r="C43" s="5" t="s">
        <v>71</v>
      </c>
      <c r="D43" s="5" t="s">
        <v>98</v>
      </c>
      <c r="E43" s="113" t="s">
        <v>72</v>
      </c>
      <c r="F43" s="5" t="s">
        <v>342</v>
      </c>
      <c r="G43" s="7">
        <v>46167</v>
      </c>
      <c r="H43" s="7">
        <v>46171</v>
      </c>
      <c r="I43" s="8">
        <f>NETWORKDAYS(G43,H43)</f>
        <v>5</v>
      </c>
      <c r="J43" s="5" t="s">
        <v>13</v>
      </c>
      <c r="K43" s="5" t="s">
        <v>66</v>
      </c>
      <c r="L43" s="6"/>
    </row>
    <row r="44" spans="1:12" ht="17" outlineLevel="2" x14ac:dyDescent="0.2">
      <c r="A44" s="114" t="s">
        <v>73</v>
      </c>
      <c r="B44" s="5" t="s">
        <v>11</v>
      </c>
      <c r="C44" s="5" t="s">
        <v>71</v>
      </c>
      <c r="D44" s="5" t="s">
        <v>98</v>
      </c>
      <c r="E44" s="113" t="s">
        <v>74</v>
      </c>
      <c r="F44" s="5" t="s">
        <v>338</v>
      </c>
      <c r="G44" s="7">
        <v>46170</v>
      </c>
      <c r="H44" s="7">
        <v>46176</v>
      </c>
      <c r="I44" s="8">
        <f>NETWORKDAYS(G44,H44)</f>
        <v>5</v>
      </c>
      <c r="J44" s="5" t="s">
        <v>13</v>
      </c>
      <c r="K44" s="5" t="s">
        <v>70</v>
      </c>
      <c r="L44" s="6"/>
    </row>
    <row r="45" spans="1:12" ht="17" outlineLevel="2" x14ac:dyDescent="0.2">
      <c r="A45" s="114" t="s">
        <v>75</v>
      </c>
      <c r="B45" s="5" t="s">
        <v>11</v>
      </c>
      <c r="C45" s="5" t="s">
        <v>71</v>
      </c>
      <c r="D45" s="5" t="s">
        <v>98</v>
      </c>
      <c r="E45" s="113" t="s">
        <v>76</v>
      </c>
      <c r="F45" s="5" t="s">
        <v>338</v>
      </c>
      <c r="G45" s="7">
        <v>46176</v>
      </c>
      <c r="H45" s="7">
        <v>46178</v>
      </c>
      <c r="I45" s="8">
        <f>NETWORKDAYS(G45,H45)</f>
        <v>3</v>
      </c>
      <c r="J45" s="5" t="s">
        <v>13</v>
      </c>
      <c r="K45" s="5" t="s">
        <v>73</v>
      </c>
      <c r="L45" s="6"/>
    </row>
    <row r="46" spans="1:12" ht="17" outlineLevel="2" x14ac:dyDescent="0.2">
      <c r="A46" s="126" t="s">
        <v>147</v>
      </c>
      <c r="B46" s="13" t="s">
        <v>11</v>
      </c>
      <c r="C46" s="13" t="s">
        <v>71</v>
      </c>
      <c r="D46" s="13" t="s">
        <v>341</v>
      </c>
      <c r="E46" s="125" t="s">
        <v>148</v>
      </c>
      <c r="F46" s="13" t="s">
        <v>23</v>
      </c>
      <c r="G46" s="15">
        <v>46177</v>
      </c>
      <c r="H46" s="15">
        <v>46178</v>
      </c>
      <c r="I46" s="16">
        <f>NETWORKDAYS(G46,H46)</f>
        <v>2</v>
      </c>
      <c r="J46" s="13" t="s">
        <v>13</v>
      </c>
      <c r="K46" s="13" t="s">
        <v>75</v>
      </c>
      <c r="L46" s="14"/>
    </row>
    <row r="47" spans="1:12" ht="17" outlineLevel="2" x14ac:dyDescent="0.2">
      <c r="A47" s="126" t="s">
        <v>149</v>
      </c>
      <c r="B47" s="13" t="s">
        <v>11</v>
      </c>
      <c r="C47" s="13" t="s">
        <v>71</v>
      </c>
      <c r="D47" s="13" t="s">
        <v>341</v>
      </c>
      <c r="E47" s="125" t="s">
        <v>150</v>
      </c>
      <c r="F47" s="13" t="s">
        <v>23</v>
      </c>
      <c r="G47" s="15">
        <v>46177</v>
      </c>
      <c r="H47" s="15">
        <v>46178</v>
      </c>
      <c r="I47" s="16">
        <f>NETWORKDAYS(G47,H47)</f>
        <v>2</v>
      </c>
      <c r="J47" s="13" t="s">
        <v>13</v>
      </c>
      <c r="K47" s="13" t="s">
        <v>75</v>
      </c>
      <c r="L47" s="14" t="s">
        <v>110</v>
      </c>
    </row>
    <row r="48" spans="1:12" ht="17" outlineLevel="2" x14ac:dyDescent="0.2">
      <c r="A48" s="122" t="s">
        <v>77</v>
      </c>
      <c r="B48" s="17" t="s">
        <v>11</v>
      </c>
      <c r="C48" s="17" t="s">
        <v>71</v>
      </c>
      <c r="D48" s="17" t="s">
        <v>39</v>
      </c>
      <c r="E48" s="121" t="s">
        <v>78</v>
      </c>
      <c r="F48" s="17" t="s">
        <v>342</v>
      </c>
      <c r="G48" s="19">
        <v>46178</v>
      </c>
      <c r="H48" s="19">
        <v>46178</v>
      </c>
      <c r="I48" s="20">
        <f>NETWORKDAYS(G48,H48)</f>
        <v>1</v>
      </c>
      <c r="J48" s="17" t="s">
        <v>13</v>
      </c>
      <c r="K48" s="17" t="s">
        <v>151</v>
      </c>
      <c r="L48" s="18"/>
    </row>
    <row r="49" spans="1:12" ht="17" outlineLevel="2" x14ac:dyDescent="0.2">
      <c r="A49" s="130" t="s">
        <v>79</v>
      </c>
      <c r="B49" s="44" t="s">
        <v>11</v>
      </c>
      <c r="C49" s="44" t="s">
        <v>71</v>
      </c>
      <c r="D49" s="44" t="s">
        <v>126</v>
      </c>
      <c r="E49" s="129" t="s">
        <v>127</v>
      </c>
      <c r="F49" s="44"/>
      <c r="G49" s="57"/>
      <c r="H49" s="57"/>
      <c r="I49" s="46"/>
      <c r="J49" s="44"/>
      <c r="K49" s="44"/>
      <c r="L49" s="45"/>
    </row>
    <row r="50" spans="1:12" ht="18" outlineLevel="2" thickBot="1" x14ac:dyDescent="0.25">
      <c r="A50" s="132" t="s">
        <v>152</v>
      </c>
      <c r="B50" s="24" t="s">
        <v>11</v>
      </c>
      <c r="C50" s="24" t="s">
        <v>71</v>
      </c>
      <c r="D50" s="24" t="s">
        <v>105</v>
      </c>
      <c r="E50" s="131" t="s">
        <v>153</v>
      </c>
      <c r="F50" s="24"/>
      <c r="G50" s="26">
        <v>46178</v>
      </c>
      <c r="H50" s="26">
        <v>46178</v>
      </c>
      <c r="I50" s="27">
        <f>NETWORKDAYS(G50,H50)</f>
        <v>1</v>
      </c>
      <c r="J50" s="24" t="s">
        <v>13</v>
      </c>
      <c r="K50" s="24" t="s">
        <v>77</v>
      </c>
      <c r="L50" s="25" t="s">
        <v>154</v>
      </c>
    </row>
    <row r="51" spans="1:12" ht="17" thickBot="1" x14ac:dyDescent="0.25">
      <c r="A51" s="52">
        <v>2</v>
      </c>
      <c r="B51" s="52" t="s">
        <v>80</v>
      </c>
      <c r="C51" s="52"/>
      <c r="D51" s="52"/>
      <c r="E51" s="53"/>
      <c r="F51" s="52"/>
      <c r="G51" s="58"/>
      <c r="H51" s="58"/>
      <c r="I51" s="54"/>
      <c r="J51" s="52"/>
      <c r="K51" s="52"/>
      <c r="L51" s="53"/>
    </row>
    <row r="52" spans="1:12" hidden="1" outlineLevel="1" x14ac:dyDescent="0.2">
      <c r="A52" s="112">
        <v>2.1</v>
      </c>
      <c r="B52" s="32" t="s">
        <v>81</v>
      </c>
      <c r="C52" s="32" t="s">
        <v>155</v>
      </c>
      <c r="D52" s="32" t="s">
        <v>97</v>
      </c>
      <c r="E52" s="111" t="s">
        <v>82</v>
      </c>
      <c r="F52" s="32"/>
      <c r="G52" s="34">
        <v>46181</v>
      </c>
      <c r="H52" s="34">
        <v>46206</v>
      </c>
      <c r="I52" s="35">
        <f>NETWORKDAYS(G52,H52)</f>
        <v>20</v>
      </c>
      <c r="J52" s="32"/>
      <c r="K52" s="32">
        <v>1.5</v>
      </c>
      <c r="L52" s="33" t="s">
        <v>83</v>
      </c>
    </row>
    <row r="53" spans="1:12" ht="17" hidden="1" outlineLevel="2" x14ac:dyDescent="0.2">
      <c r="A53" s="114" t="s">
        <v>84</v>
      </c>
      <c r="B53" s="5" t="s">
        <v>81</v>
      </c>
      <c r="C53" s="5" t="s">
        <v>85</v>
      </c>
      <c r="D53" s="5" t="s">
        <v>98</v>
      </c>
      <c r="E53" s="113" t="s">
        <v>86</v>
      </c>
      <c r="F53" s="5" t="s">
        <v>338</v>
      </c>
      <c r="G53" s="7">
        <v>46181</v>
      </c>
      <c r="H53" s="7">
        <v>46192</v>
      </c>
      <c r="I53" s="8">
        <f>NETWORKDAYS(G53,H53)</f>
        <v>10</v>
      </c>
      <c r="J53" s="5" t="s">
        <v>13</v>
      </c>
      <c r="K53" s="5" t="s">
        <v>152</v>
      </c>
      <c r="L53" s="6"/>
    </row>
    <row r="54" spans="1:12" ht="17" hidden="1" outlineLevel="2" x14ac:dyDescent="0.2">
      <c r="A54" s="114" t="s">
        <v>87</v>
      </c>
      <c r="B54" s="5" t="s">
        <v>81</v>
      </c>
      <c r="C54" s="5" t="s">
        <v>85</v>
      </c>
      <c r="D54" s="5" t="s">
        <v>98</v>
      </c>
      <c r="E54" s="113" t="s">
        <v>88</v>
      </c>
      <c r="F54" s="5" t="s">
        <v>338</v>
      </c>
      <c r="G54" s="7">
        <v>46195</v>
      </c>
      <c r="H54" s="7">
        <v>46204</v>
      </c>
      <c r="I54" s="8">
        <f>NETWORKDAYS(G54,H54)</f>
        <v>8</v>
      </c>
      <c r="J54" s="5" t="s">
        <v>13</v>
      </c>
      <c r="K54" s="5" t="s">
        <v>84</v>
      </c>
      <c r="L54" s="6"/>
    </row>
    <row r="55" spans="1:12" ht="17" hidden="1" outlineLevel="2" x14ac:dyDescent="0.2">
      <c r="A55" s="114" t="s">
        <v>89</v>
      </c>
      <c r="B55" s="5" t="s">
        <v>81</v>
      </c>
      <c r="C55" s="5" t="s">
        <v>85</v>
      </c>
      <c r="D55" s="5" t="s">
        <v>98</v>
      </c>
      <c r="E55" s="113" t="s">
        <v>90</v>
      </c>
      <c r="F55" s="5" t="s">
        <v>338</v>
      </c>
      <c r="G55" s="7">
        <v>46204</v>
      </c>
      <c r="H55" s="7">
        <v>46206</v>
      </c>
      <c r="I55" s="8">
        <f>NETWORKDAYS(G55,H55)</f>
        <v>3</v>
      </c>
      <c r="J55" s="5" t="s">
        <v>13</v>
      </c>
      <c r="K55" s="5" t="s">
        <v>87</v>
      </c>
      <c r="L55" s="6"/>
    </row>
    <row r="56" spans="1:12" ht="17" hidden="1" outlineLevel="2" x14ac:dyDescent="0.2">
      <c r="A56" s="122" t="s">
        <v>91</v>
      </c>
      <c r="B56" s="17" t="s">
        <v>81</v>
      </c>
      <c r="C56" s="17" t="s">
        <v>85</v>
      </c>
      <c r="D56" s="17" t="s">
        <v>39</v>
      </c>
      <c r="E56" s="121" t="s">
        <v>92</v>
      </c>
      <c r="F56" s="17" t="s">
        <v>342</v>
      </c>
      <c r="G56" s="19">
        <v>46206</v>
      </c>
      <c r="H56" s="19">
        <v>46206</v>
      </c>
      <c r="I56" s="20">
        <f>NETWORKDAYS(G56,H56)</f>
        <v>1</v>
      </c>
      <c r="J56" s="17" t="s">
        <v>13</v>
      </c>
      <c r="K56" s="17" t="s">
        <v>89</v>
      </c>
      <c r="L56" s="18"/>
    </row>
    <row r="57" spans="1:12" ht="17" hidden="1" outlineLevel="2" x14ac:dyDescent="0.2">
      <c r="A57" s="128" t="s">
        <v>156</v>
      </c>
      <c r="B57" s="21" t="s">
        <v>81</v>
      </c>
      <c r="C57" s="21" t="s">
        <v>85</v>
      </c>
      <c r="D57" s="21" t="s">
        <v>124</v>
      </c>
      <c r="E57" s="127" t="s">
        <v>157</v>
      </c>
      <c r="F57" s="21"/>
      <c r="G57" s="56"/>
      <c r="H57" s="56"/>
      <c r="I57" s="23"/>
      <c r="J57" s="21"/>
      <c r="K57" s="21"/>
      <c r="L57" s="22"/>
    </row>
    <row r="58" spans="1:12" ht="17" hidden="1" outlineLevel="2" x14ac:dyDescent="0.2">
      <c r="A58" s="130" t="s">
        <v>158</v>
      </c>
      <c r="B58" s="44" t="s">
        <v>81</v>
      </c>
      <c r="C58" s="44" t="s">
        <v>85</v>
      </c>
      <c r="D58" s="44" t="s">
        <v>126</v>
      </c>
      <c r="E58" s="129" t="s">
        <v>127</v>
      </c>
      <c r="F58" s="44"/>
      <c r="G58" s="57"/>
      <c r="H58" s="57"/>
      <c r="I58" s="46"/>
      <c r="J58" s="44"/>
      <c r="K58" s="44"/>
      <c r="L58" s="45"/>
    </row>
    <row r="59" spans="1:12" ht="18" hidden="1" outlineLevel="2" thickBot="1" x14ac:dyDescent="0.25">
      <c r="A59" s="120" t="s">
        <v>159</v>
      </c>
      <c r="B59" s="36" t="s">
        <v>81</v>
      </c>
      <c r="C59" s="36" t="s">
        <v>85</v>
      </c>
      <c r="D59" s="36" t="s">
        <v>105</v>
      </c>
      <c r="E59" s="119" t="s">
        <v>160</v>
      </c>
      <c r="F59" s="36"/>
      <c r="G59" s="38">
        <v>46206</v>
      </c>
      <c r="H59" s="38">
        <v>46206</v>
      </c>
      <c r="I59" s="39">
        <f>NETWORKDAYS(G59,H59)</f>
        <v>1</v>
      </c>
      <c r="J59" s="36" t="s">
        <v>13</v>
      </c>
      <c r="K59" s="36" t="s">
        <v>91</v>
      </c>
      <c r="L59" s="37" t="s">
        <v>161</v>
      </c>
    </row>
    <row r="60" spans="1:12" ht="17" collapsed="1" thickBot="1" x14ac:dyDescent="0.25"/>
    <row r="61" spans="1:12" ht="80" customHeight="1" thickBot="1" x14ac:dyDescent="0.25">
      <c r="A61" s="134" t="s">
        <v>343</v>
      </c>
      <c r="B61" s="133"/>
      <c r="C61" s="133"/>
      <c r="D61" s="133"/>
      <c r="E61" s="133"/>
      <c r="F61" s="133"/>
      <c r="G61" s="133"/>
      <c r="H61" s="133"/>
      <c r="I61" s="133"/>
      <c r="J61" s="133"/>
      <c r="K61" s="133"/>
      <c r="L61" s="135"/>
    </row>
  </sheetData>
  <mergeCells count="1">
    <mergeCell ref="A61:L61"/>
  </mergeCells>
  <conditionalFormatting sqref="J2:J59">
    <cfRule type="containsText" dxfId="3" priority="1" operator="containsText" text="Completed">
      <formula>NOT(ISERROR(SEARCH("Completed",J2)))</formula>
    </cfRule>
  </conditionalFormatting>
  <conditionalFormatting sqref="J2:J59">
    <cfRule type="containsText" dxfId="2" priority="2" operator="containsText" text="In Progress">
      <formula>NOT(ISERROR(SEARCH("In Progress",J2)))</formula>
    </cfRule>
  </conditionalFormatting>
  <conditionalFormatting sqref="J2:J59">
    <cfRule type="containsText" dxfId="1" priority="3" operator="containsText" text="Blocked">
      <formula>NOT(ISERROR(SEARCH("Blocked",J2)))</formula>
    </cfRule>
  </conditionalFormatting>
  <conditionalFormatting sqref="J2:J59">
    <cfRule type="containsText" dxfId="0" priority="4" operator="containsText" text="On Hold">
      <formula>NOT(ISERROR(SEARCH("On Hold",J2)))</formula>
    </cfRule>
  </conditionalFormatting>
  <dataValidations count="4">
    <dataValidation type="list" allowBlank="1" showInputMessage="1" showErrorMessage="1" promptTitle="Status" prompt="Select task status" sqref="J2:J59" xr:uid="{985E3E53-37C4-544F-9400-D47EEB869D19}">
      <formula1>"Not Started,In Progress,Completed,On Hold,Blocked"</formula1>
    </dataValidation>
    <dataValidation type="list" allowBlank="1" showInputMessage="1" showErrorMessage="1" promptTitle="Phase" prompt="Select project phase" sqref="B2:B59" xr:uid="{A57240E8-1E31-DF4C-B438-AAD24206D0FC}">
      <formula1>"Phase 1,Phase 2,Phase 1: Migration &amp; Integration,Phase 2: Integration (Post Go-Live)"</formula1>
    </dataValidation>
    <dataValidation type="list" allowBlank="1" showInputMessage="1" showErrorMessage="1" sqref="F2:F59" xr:uid="{2B49B598-F3B9-D648-80BB-9CC408BEE1AD}">
      <formula1>"WES,Knowmax,WES / Knowmax,Knowmax / WES"</formula1>
    </dataValidation>
    <dataValidation type="list" allowBlank="1" showInputMessage="1" showErrorMessage="1" sqref="D2:D59" xr:uid="{10E8705B-D9D6-9B4C-AA93-14BA5F9F683D}">
      <formula1>"Task,Summary,◆ Milestone,Knowmax Deliverable,Deliverable,WES Requirement,Assumption,Risk"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EF8F28-A3E9-444C-8F6B-C89006FB9465}">
  <dimension ref="A1:I60"/>
  <sheetViews>
    <sheetView workbookViewId="0">
      <pane ySplit="1" topLeftCell="A2" activePane="bottomLeft" state="frozen"/>
      <selection pane="bottomLeft"/>
    </sheetView>
  </sheetViews>
  <sheetFormatPr baseColWidth="10" defaultRowHeight="16" x14ac:dyDescent="0.2"/>
  <cols>
    <col min="1" max="1" width="58.33203125" customWidth="1"/>
    <col min="2" max="2" width="20" customWidth="1"/>
    <col min="3" max="3" width="16.6640625" customWidth="1"/>
    <col min="4" max="4" width="15" customWidth="1"/>
    <col min="5" max="5" width="20" customWidth="1"/>
    <col min="7" max="9" width="0" hidden="1" customWidth="1"/>
  </cols>
  <sheetData>
    <row r="1" spans="1:9" x14ac:dyDescent="0.2">
      <c r="A1" s="2" t="s">
        <v>98</v>
      </c>
      <c r="B1" s="2" t="s">
        <v>93</v>
      </c>
      <c r="C1" s="2" t="s">
        <v>162</v>
      </c>
      <c r="D1" s="2" t="s">
        <v>7</v>
      </c>
      <c r="E1" s="2" t="s">
        <v>1</v>
      </c>
      <c r="G1" t="s">
        <v>98</v>
      </c>
      <c r="H1" t="s">
        <v>214</v>
      </c>
      <c r="I1" t="s">
        <v>215</v>
      </c>
    </row>
    <row r="2" spans="1:9" x14ac:dyDescent="0.2">
      <c r="A2" t="s">
        <v>163</v>
      </c>
      <c r="B2" t="s">
        <v>105</v>
      </c>
      <c r="C2">
        <v>81</v>
      </c>
      <c r="D2">
        <v>1</v>
      </c>
      <c r="E2" t="s">
        <v>81</v>
      </c>
      <c r="G2" t="s">
        <v>163</v>
      </c>
      <c r="H2">
        <v>81</v>
      </c>
      <c r="I2">
        <v>1</v>
      </c>
    </row>
    <row r="3" spans="1:9" x14ac:dyDescent="0.2">
      <c r="A3" t="s">
        <v>164</v>
      </c>
      <c r="B3" t="s">
        <v>39</v>
      </c>
      <c r="C3">
        <v>81</v>
      </c>
      <c r="D3">
        <v>1</v>
      </c>
      <c r="E3" t="s">
        <v>81</v>
      </c>
      <c r="G3" t="s">
        <v>164</v>
      </c>
      <c r="H3">
        <v>81</v>
      </c>
      <c r="I3">
        <v>1</v>
      </c>
    </row>
    <row r="4" spans="1:9" x14ac:dyDescent="0.2">
      <c r="A4" t="s">
        <v>165</v>
      </c>
      <c r="B4" t="s">
        <v>98</v>
      </c>
      <c r="C4">
        <v>79</v>
      </c>
      <c r="D4">
        <v>2</v>
      </c>
      <c r="E4" t="s">
        <v>81</v>
      </c>
      <c r="G4" t="s">
        <v>165</v>
      </c>
      <c r="H4">
        <v>79</v>
      </c>
      <c r="I4">
        <v>2</v>
      </c>
    </row>
    <row r="5" spans="1:9" x14ac:dyDescent="0.2">
      <c r="A5" t="s">
        <v>166</v>
      </c>
      <c r="B5" t="s">
        <v>98</v>
      </c>
      <c r="C5">
        <v>70</v>
      </c>
      <c r="D5">
        <v>9</v>
      </c>
      <c r="E5" t="s">
        <v>81</v>
      </c>
      <c r="G5" t="s">
        <v>166</v>
      </c>
      <c r="H5">
        <v>70</v>
      </c>
      <c r="I5">
        <v>9</v>
      </c>
    </row>
    <row r="6" spans="1:9" x14ac:dyDescent="0.2">
      <c r="A6" t="s">
        <v>167</v>
      </c>
      <c r="B6" t="s">
        <v>98</v>
      </c>
      <c r="C6">
        <v>56</v>
      </c>
      <c r="D6">
        <v>11</v>
      </c>
      <c r="E6" t="s">
        <v>81</v>
      </c>
      <c r="G6" t="s">
        <v>167</v>
      </c>
      <c r="H6">
        <v>56</v>
      </c>
      <c r="I6">
        <v>11</v>
      </c>
    </row>
    <row r="7" spans="1:9" x14ac:dyDescent="0.2">
      <c r="A7" t="s">
        <v>168</v>
      </c>
      <c r="B7" t="s">
        <v>97</v>
      </c>
      <c r="C7">
        <v>56</v>
      </c>
      <c r="D7">
        <v>25</v>
      </c>
      <c r="E7" t="s">
        <v>81</v>
      </c>
      <c r="G7" t="s">
        <v>168</v>
      </c>
      <c r="H7">
        <v>56</v>
      </c>
      <c r="I7">
        <v>25</v>
      </c>
    </row>
    <row r="8" spans="1:9" x14ac:dyDescent="0.2">
      <c r="A8" t="s">
        <v>169</v>
      </c>
      <c r="B8" t="s">
        <v>105</v>
      </c>
      <c r="C8">
        <v>53</v>
      </c>
      <c r="D8">
        <v>1</v>
      </c>
      <c r="E8" t="s">
        <v>11</v>
      </c>
      <c r="G8" t="s">
        <v>169</v>
      </c>
      <c r="H8">
        <v>53</v>
      </c>
      <c r="I8">
        <v>1</v>
      </c>
    </row>
    <row r="9" spans="1:9" x14ac:dyDescent="0.2">
      <c r="A9" t="s">
        <v>170</v>
      </c>
      <c r="B9" t="s">
        <v>39</v>
      </c>
      <c r="C9">
        <v>53</v>
      </c>
      <c r="D9">
        <v>1</v>
      </c>
      <c r="E9" t="s">
        <v>11</v>
      </c>
      <c r="G9" t="s">
        <v>170</v>
      </c>
      <c r="H9">
        <v>53</v>
      </c>
      <c r="I9">
        <v>1</v>
      </c>
    </row>
    <row r="10" spans="1:9" x14ac:dyDescent="0.2">
      <c r="A10" t="s">
        <v>171</v>
      </c>
      <c r="B10" t="s">
        <v>56</v>
      </c>
      <c r="C10">
        <v>52</v>
      </c>
      <c r="D10">
        <v>1</v>
      </c>
      <c r="E10" t="s">
        <v>11</v>
      </c>
      <c r="G10" t="s">
        <v>171</v>
      </c>
      <c r="H10">
        <v>52</v>
      </c>
      <c r="I10">
        <v>1</v>
      </c>
    </row>
    <row r="11" spans="1:9" x14ac:dyDescent="0.2">
      <c r="A11" t="s">
        <v>172</v>
      </c>
      <c r="B11" t="s">
        <v>56</v>
      </c>
      <c r="C11">
        <v>52</v>
      </c>
      <c r="D11">
        <v>1</v>
      </c>
      <c r="E11" t="s">
        <v>11</v>
      </c>
      <c r="G11" t="s">
        <v>172</v>
      </c>
      <c r="H11">
        <v>52</v>
      </c>
      <c r="I11">
        <v>1</v>
      </c>
    </row>
    <row r="12" spans="1:9" x14ac:dyDescent="0.2">
      <c r="A12" t="s">
        <v>173</v>
      </c>
      <c r="B12" t="s">
        <v>98</v>
      </c>
      <c r="C12">
        <v>51</v>
      </c>
      <c r="D12">
        <v>2</v>
      </c>
      <c r="E12" t="s">
        <v>11</v>
      </c>
      <c r="G12" t="s">
        <v>173</v>
      </c>
      <c r="H12">
        <v>51</v>
      </c>
      <c r="I12">
        <v>2</v>
      </c>
    </row>
    <row r="13" spans="1:9" x14ac:dyDescent="0.2">
      <c r="A13" t="s">
        <v>174</v>
      </c>
      <c r="B13" t="s">
        <v>98</v>
      </c>
      <c r="C13">
        <v>45</v>
      </c>
      <c r="D13">
        <v>6</v>
      </c>
      <c r="E13" t="s">
        <v>11</v>
      </c>
      <c r="G13" t="s">
        <v>174</v>
      </c>
      <c r="H13">
        <v>45</v>
      </c>
      <c r="I13">
        <v>6</v>
      </c>
    </row>
    <row r="14" spans="1:9" x14ac:dyDescent="0.2">
      <c r="A14" t="s">
        <v>175</v>
      </c>
      <c r="B14" t="s">
        <v>98</v>
      </c>
      <c r="C14">
        <v>42</v>
      </c>
      <c r="D14">
        <v>4</v>
      </c>
      <c r="E14" t="s">
        <v>11</v>
      </c>
      <c r="G14" t="s">
        <v>175</v>
      </c>
      <c r="H14">
        <v>42</v>
      </c>
      <c r="I14">
        <v>4</v>
      </c>
    </row>
    <row r="15" spans="1:9" x14ac:dyDescent="0.2">
      <c r="A15" t="s">
        <v>176</v>
      </c>
      <c r="B15" t="s">
        <v>97</v>
      </c>
      <c r="C15">
        <v>42</v>
      </c>
      <c r="D15">
        <v>11</v>
      </c>
      <c r="E15" t="s">
        <v>11</v>
      </c>
      <c r="G15" t="s">
        <v>176</v>
      </c>
      <c r="H15">
        <v>42</v>
      </c>
      <c r="I15">
        <v>11</v>
      </c>
    </row>
    <row r="16" spans="1:9" x14ac:dyDescent="0.2">
      <c r="A16" t="s">
        <v>177</v>
      </c>
      <c r="B16" t="s">
        <v>105</v>
      </c>
      <c r="C16">
        <v>39</v>
      </c>
      <c r="D16">
        <v>1</v>
      </c>
      <c r="E16" t="s">
        <v>11</v>
      </c>
      <c r="G16" t="s">
        <v>177</v>
      </c>
      <c r="H16">
        <v>39</v>
      </c>
      <c r="I16">
        <v>1</v>
      </c>
    </row>
    <row r="17" spans="1:9" x14ac:dyDescent="0.2">
      <c r="A17" t="s">
        <v>178</v>
      </c>
      <c r="B17" t="s">
        <v>39</v>
      </c>
      <c r="C17">
        <v>39</v>
      </c>
      <c r="D17">
        <v>1</v>
      </c>
      <c r="E17" t="s">
        <v>11</v>
      </c>
      <c r="G17" t="s">
        <v>178</v>
      </c>
      <c r="H17">
        <v>39</v>
      </c>
      <c r="I17">
        <v>1</v>
      </c>
    </row>
    <row r="18" spans="1:9" x14ac:dyDescent="0.2">
      <c r="A18" t="s">
        <v>179</v>
      </c>
      <c r="B18" t="s">
        <v>39</v>
      </c>
      <c r="C18">
        <v>39</v>
      </c>
      <c r="D18">
        <v>1</v>
      </c>
      <c r="E18" t="s">
        <v>11</v>
      </c>
      <c r="G18" t="s">
        <v>179</v>
      </c>
      <c r="H18">
        <v>39</v>
      </c>
      <c r="I18">
        <v>1</v>
      </c>
    </row>
    <row r="19" spans="1:9" x14ac:dyDescent="0.2">
      <c r="A19" t="s">
        <v>180</v>
      </c>
      <c r="B19" t="s">
        <v>56</v>
      </c>
      <c r="C19">
        <v>35</v>
      </c>
      <c r="D19">
        <v>4</v>
      </c>
      <c r="E19" t="s">
        <v>11</v>
      </c>
      <c r="G19" t="s">
        <v>180</v>
      </c>
      <c r="H19">
        <v>35</v>
      </c>
      <c r="I19">
        <v>4</v>
      </c>
    </row>
    <row r="20" spans="1:9" x14ac:dyDescent="0.2">
      <c r="A20" t="s">
        <v>181</v>
      </c>
      <c r="B20" t="s">
        <v>56</v>
      </c>
      <c r="C20">
        <v>37</v>
      </c>
      <c r="D20">
        <v>2</v>
      </c>
      <c r="E20" t="s">
        <v>11</v>
      </c>
      <c r="G20" t="s">
        <v>181</v>
      </c>
      <c r="H20">
        <v>37</v>
      </c>
      <c r="I20">
        <v>2</v>
      </c>
    </row>
    <row r="21" spans="1:9" x14ac:dyDescent="0.2">
      <c r="A21" t="s">
        <v>182</v>
      </c>
      <c r="B21" t="s">
        <v>56</v>
      </c>
      <c r="C21">
        <v>35</v>
      </c>
      <c r="D21">
        <v>4</v>
      </c>
      <c r="E21" t="s">
        <v>11</v>
      </c>
      <c r="G21" t="s">
        <v>182</v>
      </c>
      <c r="H21">
        <v>35</v>
      </c>
      <c r="I21">
        <v>4</v>
      </c>
    </row>
    <row r="22" spans="1:9" x14ac:dyDescent="0.2">
      <c r="A22" t="s">
        <v>183</v>
      </c>
      <c r="B22" t="s">
        <v>98</v>
      </c>
      <c r="C22">
        <v>37</v>
      </c>
      <c r="D22">
        <v>2</v>
      </c>
      <c r="E22" t="s">
        <v>11</v>
      </c>
      <c r="G22" t="s">
        <v>183</v>
      </c>
      <c r="H22">
        <v>37</v>
      </c>
      <c r="I22">
        <v>2</v>
      </c>
    </row>
    <row r="23" spans="1:9" x14ac:dyDescent="0.2">
      <c r="A23" t="s">
        <v>184</v>
      </c>
      <c r="B23" t="s">
        <v>98</v>
      </c>
      <c r="C23">
        <v>30</v>
      </c>
      <c r="D23">
        <v>7</v>
      </c>
      <c r="E23" t="s">
        <v>11</v>
      </c>
      <c r="G23" t="s">
        <v>184</v>
      </c>
      <c r="H23">
        <v>30</v>
      </c>
      <c r="I23">
        <v>7</v>
      </c>
    </row>
    <row r="24" spans="1:9" x14ac:dyDescent="0.2">
      <c r="A24" t="s">
        <v>185</v>
      </c>
      <c r="B24" t="s">
        <v>98</v>
      </c>
      <c r="C24">
        <v>28</v>
      </c>
      <c r="D24">
        <v>4</v>
      </c>
      <c r="E24" t="s">
        <v>11</v>
      </c>
      <c r="G24" t="s">
        <v>185</v>
      </c>
      <c r="H24">
        <v>28</v>
      </c>
      <c r="I24">
        <v>4</v>
      </c>
    </row>
    <row r="25" spans="1:9" x14ac:dyDescent="0.2">
      <c r="A25" t="s">
        <v>186</v>
      </c>
      <c r="B25" t="s">
        <v>97</v>
      </c>
      <c r="C25">
        <v>28</v>
      </c>
      <c r="D25">
        <v>11</v>
      </c>
      <c r="E25" t="s">
        <v>11</v>
      </c>
      <c r="G25" t="s">
        <v>186</v>
      </c>
      <c r="H25">
        <v>28</v>
      </c>
      <c r="I25">
        <v>11</v>
      </c>
    </row>
    <row r="26" spans="1:9" x14ac:dyDescent="0.2">
      <c r="A26" t="s">
        <v>187</v>
      </c>
      <c r="B26" t="s">
        <v>105</v>
      </c>
      <c r="C26">
        <v>25</v>
      </c>
      <c r="D26">
        <v>1</v>
      </c>
      <c r="E26" t="s">
        <v>11</v>
      </c>
      <c r="G26" t="s">
        <v>187</v>
      </c>
      <c r="H26">
        <v>25</v>
      </c>
      <c r="I26">
        <v>1</v>
      </c>
    </row>
    <row r="27" spans="1:9" x14ac:dyDescent="0.2">
      <c r="A27" t="s">
        <v>188</v>
      </c>
      <c r="B27" t="s">
        <v>39</v>
      </c>
      <c r="C27">
        <v>25</v>
      </c>
      <c r="D27">
        <v>1</v>
      </c>
      <c r="E27" t="s">
        <v>11</v>
      </c>
      <c r="G27" t="s">
        <v>188</v>
      </c>
      <c r="H27">
        <v>25</v>
      </c>
      <c r="I27">
        <v>1</v>
      </c>
    </row>
    <row r="28" spans="1:9" x14ac:dyDescent="0.2">
      <c r="A28" t="s">
        <v>189</v>
      </c>
      <c r="B28" t="s">
        <v>39</v>
      </c>
      <c r="C28">
        <v>25</v>
      </c>
      <c r="D28">
        <v>1</v>
      </c>
      <c r="E28" t="s">
        <v>11</v>
      </c>
      <c r="G28" t="s">
        <v>189</v>
      </c>
      <c r="H28">
        <v>25</v>
      </c>
      <c r="I28">
        <v>1</v>
      </c>
    </row>
    <row r="29" spans="1:9" x14ac:dyDescent="0.2">
      <c r="A29" t="s">
        <v>190</v>
      </c>
      <c r="B29" t="s">
        <v>56</v>
      </c>
      <c r="C29">
        <v>24</v>
      </c>
      <c r="D29">
        <v>1</v>
      </c>
      <c r="E29" t="s">
        <v>11</v>
      </c>
      <c r="G29" t="s">
        <v>190</v>
      </c>
      <c r="H29">
        <v>24</v>
      </c>
      <c r="I29">
        <v>1</v>
      </c>
    </row>
    <row r="30" spans="1:9" x14ac:dyDescent="0.2">
      <c r="A30" t="s">
        <v>191</v>
      </c>
      <c r="B30" t="s">
        <v>56</v>
      </c>
      <c r="C30">
        <v>24</v>
      </c>
      <c r="D30">
        <v>1</v>
      </c>
      <c r="E30" t="s">
        <v>11</v>
      </c>
      <c r="G30" t="s">
        <v>191</v>
      </c>
      <c r="H30">
        <v>24</v>
      </c>
      <c r="I30">
        <v>1</v>
      </c>
    </row>
    <row r="31" spans="1:9" x14ac:dyDescent="0.2">
      <c r="A31" t="s">
        <v>192</v>
      </c>
      <c r="B31" t="s">
        <v>98</v>
      </c>
      <c r="C31">
        <v>22</v>
      </c>
      <c r="D31">
        <v>3</v>
      </c>
      <c r="E31" t="s">
        <v>11</v>
      </c>
      <c r="G31" t="s">
        <v>192</v>
      </c>
      <c r="H31">
        <v>22</v>
      </c>
      <c r="I31">
        <v>3</v>
      </c>
    </row>
    <row r="32" spans="1:9" x14ac:dyDescent="0.2">
      <c r="A32" t="s">
        <v>193</v>
      </c>
      <c r="B32" t="s">
        <v>98</v>
      </c>
      <c r="C32">
        <v>23</v>
      </c>
      <c r="D32">
        <v>1</v>
      </c>
      <c r="E32" t="s">
        <v>11</v>
      </c>
      <c r="G32" t="s">
        <v>193</v>
      </c>
      <c r="H32">
        <v>23</v>
      </c>
      <c r="I32">
        <v>1</v>
      </c>
    </row>
    <row r="33" spans="1:9" x14ac:dyDescent="0.2">
      <c r="A33" t="s">
        <v>194</v>
      </c>
      <c r="B33" t="s">
        <v>98</v>
      </c>
      <c r="C33">
        <v>21</v>
      </c>
      <c r="D33">
        <v>4</v>
      </c>
      <c r="E33" t="s">
        <v>11</v>
      </c>
      <c r="G33" t="s">
        <v>194</v>
      </c>
      <c r="H33">
        <v>21</v>
      </c>
      <c r="I33">
        <v>4</v>
      </c>
    </row>
    <row r="34" spans="1:9" x14ac:dyDescent="0.2">
      <c r="A34" t="s">
        <v>195</v>
      </c>
      <c r="B34" t="s">
        <v>98</v>
      </c>
      <c r="C34">
        <v>21</v>
      </c>
      <c r="D34">
        <v>2</v>
      </c>
      <c r="E34" t="s">
        <v>11</v>
      </c>
      <c r="G34" t="s">
        <v>195</v>
      </c>
      <c r="H34">
        <v>21</v>
      </c>
      <c r="I34">
        <v>2</v>
      </c>
    </row>
    <row r="35" spans="1:9" x14ac:dyDescent="0.2">
      <c r="A35" t="s">
        <v>196</v>
      </c>
      <c r="B35" t="s">
        <v>97</v>
      </c>
      <c r="C35">
        <v>21</v>
      </c>
      <c r="D35">
        <v>4</v>
      </c>
      <c r="E35" t="s">
        <v>11</v>
      </c>
      <c r="G35" t="s">
        <v>196</v>
      </c>
      <c r="H35">
        <v>21</v>
      </c>
      <c r="I35">
        <v>4</v>
      </c>
    </row>
    <row r="36" spans="1:9" x14ac:dyDescent="0.2">
      <c r="A36" t="s">
        <v>197</v>
      </c>
      <c r="B36" t="s">
        <v>105</v>
      </c>
      <c r="C36">
        <v>18</v>
      </c>
      <c r="D36">
        <v>1</v>
      </c>
      <c r="E36" t="s">
        <v>11</v>
      </c>
      <c r="G36" t="s">
        <v>197</v>
      </c>
      <c r="H36">
        <v>18</v>
      </c>
      <c r="I36">
        <v>1</v>
      </c>
    </row>
    <row r="37" spans="1:9" x14ac:dyDescent="0.2">
      <c r="A37" t="s">
        <v>198</v>
      </c>
      <c r="B37" t="s">
        <v>39</v>
      </c>
      <c r="C37">
        <v>18</v>
      </c>
      <c r="D37">
        <v>1</v>
      </c>
      <c r="E37" t="s">
        <v>11</v>
      </c>
      <c r="G37" t="s">
        <v>198</v>
      </c>
      <c r="H37">
        <v>18</v>
      </c>
      <c r="I37">
        <v>1</v>
      </c>
    </row>
    <row r="38" spans="1:9" x14ac:dyDescent="0.2">
      <c r="A38" t="s">
        <v>199</v>
      </c>
      <c r="B38" t="s">
        <v>39</v>
      </c>
      <c r="C38">
        <v>18</v>
      </c>
      <c r="D38">
        <v>1</v>
      </c>
      <c r="E38" t="s">
        <v>11</v>
      </c>
      <c r="G38" t="s">
        <v>199</v>
      </c>
      <c r="H38">
        <v>18</v>
      </c>
      <c r="I38">
        <v>1</v>
      </c>
    </row>
    <row r="39" spans="1:9" x14ac:dyDescent="0.2">
      <c r="A39" t="s">
        <v>200</v>
      </c>
      <c r="B39" t="s">
        <v>98</v>
      </c>
      <c r="C39">
        <v>16</v>
      </c>
      <c r="D39">
        <v>2</v>
      </c>
      <c r="E39" t="s">
        <v>11</v>
      </c>
      <c r="G39" t="s">
        <v>200</v>
      </c>
      <c r="H39">
        <v>16</v>
      </c>
      <c r="I39">
        <v>2</v>
      </c>
    </row>
    <row r="40" spans="1:9" x14ac:dyDescent="0.2">
      <c r="A40" t="s">
        <v>201</v>
      </c>
      <c r="B40" t="s">
        <v>98</v>
      </c>
      <c r="C40">
        <v>14</v>
      </c>
      <c r="D40">
        <v>3</v>
      </c>
      <c r="E40" t="s">
        <v>11</v>
      </c>
      <c r="G40" t="s">
        <v>201</v>
      </c>
      <c r="H40">
        <v>14</v>
      </c>
      <c r="I40">
        <v>3</v>
      </c>
    </row>
    <row r="41" spans="1:9" x14ac:dyDescent="0.2">
      <c r="A41" t="s">
        <v>202</v>
      </c>
      <c r="B41" t="s">
        <v>98</v>
      </c>
      <c r="C41">
        <v>14</v>
      </c>
      <c r="D41">
        <v>2</v>
      </c>
      <c r="E41" t="s">
        <v>11</v>
      </c>
      <c r="G41" t="s">
        <v>202</v>
      </c>
      <c r="H41">
        <v>14</v>
      </c>
      <c r="I41">
        <v>2</v>
      </c>
    </row>
    <row r="42" spans="1:9" x14ac:dyDescent="0.2">
      <c r="A42" t="s">
        <v>203</v>
      </c>
      <c r="B42" t="s">
        <v>97</v>
      </c>
      <c r="C42">
        <v>14</v>
      </c>
      <c r="D42">
        <v>4</v>
      </c>
      <c r="E42" t="s">
        <v>11</v>
      </c>
      <c r="G42" t="s">
        <v>203</v>
      </c>
      <c r="H42">
        <v>14</v>
      </c>
      <c r="I42">
        <v>4</v>
      </c>
    </row>
    <row r="43" spans="1:9" x14ac:dyDescent="0.2">
      <c r="A43" t="s">
        <v>204</v>
      </c>
      <c r="B43" t="s">
        <v>105</v>
      </c>
      <c r="C43">
        <v>11</v>
      </c>
      <c r="D43">
        <v>1</v>
      </c>
      <c r="E43" t="s">
        <v>11</v>
      </c>
      <c r="G43" t="s">
        <v>204</v>
      </c>
      <c r="H43">
        <v>11</v>
      </c>
      <c r="I43">
        <v>1</v>
      </c>
    </row>
    <row r="44" spans="1:9" x14ac:dyDescent="0.2">
      <c r="A44" t="s">
        <v>205</v>
      </c>
      <c r="B44" t="s">
        <v>56</v>
      </c>
      <c r="C44">
        <v>0</v>
      </c>
      <c r="D44">
        <v>4</v>
      </c>
      <c r="E44" t="s">
        <v>11</v>
      </c>
      <c r="G44" t="s">
        <v>205</v>
      </c>
      <c r="H44">
        <v>0</v>
      </c>
      <c r="I44">
        <v>4</v>
      </c>
    </row>
    <row r="45" spans="1:9" x14ac:dyDescent="0.2">
      <c r="A45" t="s">
        <v>206</v>
      </c>
      <c r="B45" t="s">
        <v>27</v>
      </c>
      <c r="C45">
        <v>0</v>
      </c>
      <c r="D45">
        <v>4</v>
      </c>
      <c r="E45" t="s">
        <v>11</v>
      </c>
      <c r="G45" t="s">
        <v>206</v>
      </c>
      <c r="H45">
        <v>0</v>
      </c>
      <c r="I45">
        <v>4</v>
      </c>
    </row>
    <row r="46" spans="1:9" x14ac:dyDescent="0.2">
      <c r="A46" t="s">
        <v>207</v>
      </c>
      <c r="B46" t="s">
        <v>27</v>
      </c>
      <c r="C46">
        <v>9</v>
      </c>
      <c r="D46">
        <v>2</v>
      </c>
      <c r="E46" t="s">
        <v>11</v>
      </c>
      <c r="G46" t="s">
        <v>207</v>
      </c>
      <c r="H46">
        <v>9</v>
      </c>
      <c r="I46">
        <v>2</v>
      </c>
    </row>
    <row r="47" spans="1:9" x14ac:dyDescent="0.2">
      <c r="A47" t="s">
        <v>208</v>
      </c>
      <c r="B47" t="s">
        <v>98</v>
      </c>
      <c r="C47">
        <v>4</v>
      </c>
      <c r="D47">
        <v>7</v>
      </c>
      <c r="E47" t="s">
        <v>11</v>
      </c>
      <c r="G47" t="s">
        <v>208</v>
      </c>
      <c r="H47">
        <v>4</v>
      </c>
      <c r="I47">
        <v>7</v>
      </c>
    </row>
    <row r="48" spans="1:9" x14ac:dyDescent="0.2">
      <c r="A48" t="s">
        <v>209</v>
      </c>
      <c r="B48" t="s">
        <v>98</v>
      </c>
      <c r="C48">
        <v>2</v>
      </c>
      <c r="D48">
        <v>7</v>
      </c>
      <c r="E48" t="s">
        <v>11</v>
      </c>
      <c r="G48" t="s">
        <v>209</v>
      </c>
      <c r="H48">
        <v>2</v>
      </c>
      <c r="I48">
        <v>7</v>
      </c>
    </row>
    <row r="49" spans="1:9" x14ac:dyDescent="0.2">
      <c r="A49" t="s">
        <v>210</v>
      </c>
      <c r="B49" t="s">
        <v>98</v>
      </c>
      <c r="C49">
        <v>0</v>
      </c>
      <c r="D49">
        <v>4</v>
      </c>
      <c r="E49" t="s">
        <v>11</v>
      </c>
      <c r="G49" t="s">
        <v>210</v>
      </c>
      <c r="H49">
        <v>0</v>
      </c>
      <c r="I49">
        <v>4</v>
      </c>
    </row>
    <row r="50" spans="1:9" x14ac:dyDescent="0.2">
      <c r="A50" t="s">
        <v>211</v>
      </c>
      <c r="B50" t="s">
        <v>98</v>
      </c>
      <c r="C50">
        <v>0</v>
      </c>
      <c r="D50">
        <v>2</v>
      </c>
      <c r="E50" t="s">
        <v>11</v>
      </c>
      <c r="G50" t="s">
        <v>211</v>
      </c>
      <c r="H50">
        <v>0</v>
      </c>
      <c r="I50">
        <v>2</v>
      </c>
    </row>
    <row r="51" spans="1:9" x14ac:dyDescent="0.2">
      <c r="A51" t="s">
        <v>212</v>
      </c>
      <c r="B51" t="s">
        <v>98</v>
      </c>
      <c r="C51">
        <v>0</v>
      </c>
      <c r="D51">
        <v>1</v>
      </c>
      <c r="E51" t="s">
        <v>11</v>
      </c>
      <c r="G51" t="s">
        <v>212</v>
      </c>
      <c r="H51">
        <v>0</v>
      </c>
      <c r="I51">
        <v>1</v>
      </c>
    </row>
    <row r="52" spans="1:9" x14ac:dyDescent="0.2">
      <c r="A52" t="s">
        <v>213</v>
      </c>
      <c r="B52" t="s">
        <v>97</v>
      </c>
      <c r="C52">
        <v>0</v>
      </c>
      <c r="D52">
        <v>11</v>
      </c>
      <c r="E52" t="s">
        <v>11</v>
      </c>
      <c r="G52" t="s">
        <v>213</v>
      </c>
      <c r="H52">
        <v>0</v>
      </c>
      <c r="I52">
        <v>11</v>
      </c>
    </row>
    <row r="54" spans="1:9" x14ac:dyDescent="0.2">
      <c r="A54" s="1" t="s">
        <v>216</v>
      </c>
    </row>
    <row r="55" spans="1:9" ht="19" x14ac:dyDescent="0.25">
      <c r="A55" s="59" t="s">
        <v>217</v>
      </c>
      <c r="B55" s="60" t="s">
        <v>218</v>
      </c>
    </row>
    <row r="56" spans="1:9" ht="19" x14ac:dyDescent="0.25">
      <c r="A56" s="61" t="s">
        <v>217</v>
      </c>
      <c r="B56" s="60" t="s">
        <v>98</v>
      </c>
    </row>
    <row r="57" spans="1:9" ht="19" x14ac:dyDescent="0.25">
      <c r="A57" s="62" t="s">
        <v>217</v>
      </c>
      <c r="B57" s="60" t="s">
        <v>105</v>
      </c>
    </row>
    <row r="58" spans="1:9" ht="19" x14ac:dyDescent="0.25">
      <c r="A58" s="63" t="s">
        <v>217</v>
      </c>
      <c r="B58" s="60" t="s">
        <v>27</v>
      </c>
    </row>
    <row r="59" spans="1:9" ht="19" x14ac:dyDescent="0.25">
      <c r="A59" s="64" t="s">
        <v>217</v>
      </c>
      <c r="B59" s="60" t="s">
        <v>56</v>
      </c>
    </row>
    <row r="60" spans="1:9" ht="19" x14ac:dyDescent="0.25">
      <c r="A60" s="65" t="s">
        <v>217</v>
      </c>
      <c r="B60" s="60" t="s">
        <v>219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WBS Guide</vt:lpstr>
      <vt:lpstr>WBS</vt:lpstr>
      <vt:lpstr>Gantt Chart</vt:lpstr>
      <vt:lpstr>'WBS Guide'!Print_Area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Aman Prabhat</dc:creator>
  <cp:lastModifiedBy>Aman Prabhat</cp:lastModifiedBy>
  <dcterms:created xsi:type="dcterms:W3CDTF">2026-04-08T08:59:07Z</dcterms:created>
  <dcterms:modified xsi:type="dcterms:W3CDTF">2026-04-09T12:10:54Z</dcterms:modified>
</cp:coreProperties>
</file>